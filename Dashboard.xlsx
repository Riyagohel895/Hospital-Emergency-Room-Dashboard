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drawings/drawing3.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iyaa\Downloads\"/>
    </mc:Choice>
  </mc:AlternateContent>
  <xr:revisionPtr revIDLastSave="0" documentId="13_ncr:1_{C02CE08E-11CB-4E97-A79E-BE1965BA7F41}" xr6:coauthVersionLast="47" xr6:coauthVersionMax="47" xr10:uidLastSave="{00000000-0000-0000-0000-000000000000}"/>
  <bookViews>
    <workbookView xWindow="-108" yWindow="-108" windowWidth="23256" windowHeight="12456" xr2:uid="{3CAD5B98-76ED-4E4F-9519-C34193DA2833}"/>
  </bookViews>
  <sheets>
    <sheet name="Pivot Report" sheetId="1" r:id="rId1"/>
    <sheet name="Dashboard" sheetId="3" r:id="rId2"/>
    <sheet name="Daily ER No of Patients" sheetId="4" r:id="rId3"/>
    <sheet name="Average Wait Time Daily Trend" sheetId="5" r:id="rId4"/>
    <sheet name="Patients Satisfaction S" sheetId="6"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49473fb-366d-4ddc-8fab-2719eb9b8dee" name="Hospital Emergency Room Data" connection="Query - Hospital Emergency Room Data"/>
          <x15:modelTable id="Calendar_Table_baa13536-6b60-406c-b2a8-6291ac6d49e1"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5" i="1" l="1"/>
  <c r="C45" i="1"/>
  <c r="A46" i="1"/>
  <c r="B46" i="1"/>
  <c r="C46" i="1"/>
  <c r="A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EE7F14-9069-4C2F-A5D1-CF819A228C98}" name="Query - Calendar_Table" description="Connection to the 'Calendar_Table' query in the workbook." type="100" refreshedVersion="8" minRefreshableVersion="5">
    <extLst>
      <ext xmlns:x15="http://schemas.microsoft.com/office/spreadsheetml/2010/11/main" uri="{DE250136-89BD-433C-8126-D09CA5730AF9}">
        <x15:connection id="96a0f851-069c-45cc-890a-b945e43a7668"/>
      </ext>
    </extLst>
  </connection>
  <connection id="2" xr16:uid="{642E9CD2-496B-40FF-A160-6C1CD7957E0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abd600e-32d9-41c9-83bc-a1abde169b05"/>
      </ext>
    </extLst>
  </connection>
  <connection id="3" xr16:uid="{0AC989D3-36E4-43F9-97D6-23E294F888B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<sst xmlns="http://schemas.openxmlformats.org/spreadsheetml/2006/main" count="153" uniqueCount="72">
  <si>
    <t>Count of Patient Id</t>
  </si>
  <si>
    <t>Distinct Count of Patient Id</t>
  </si>
  <si>
    <t>Male</t>
  </si>
  <si>
    <t>None</t>
  </si>
  <si>
    <t>Admitted</t>
  </si>
  <si>
    <t>60-69</t>
  </si>
  <si>
    <t>Delay</t>
  </si>
  <si>
    <t>70-79</t>
  </si>
  <si>
    <t>10-19</t>
  </si>
  <si>
    <t>Ontime</t>
  </si>
  <si>
    <t>40-49</t>
  </si>
  <si>
    <t>50-59</t>
  </si>
  <si>
    <t>20-29</t>
  </si>
  <si>
    <t>0-09</t>
  </si>
  <si>
    <t>30-39</t>
  </si>
  <si>
    <t>Not Admitted</t>
  </si>
  <si>
    <t>Average of Patient Waittime</t>
  </si>
  <si>
    <t>Average of Patient Satisfaction Score</t>
  </si>
  <si>
    <t>Row Labels</t>
  </si>
  <si>
    <t>Grand Total</t>
  </si>
  <si>
    <t>2024</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</si>
  <si>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</si>
  <si>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</si>
  <si>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</si>
  <si>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</si>
  <si>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</si>
  <si>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</si>
  <si>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</si>
  <si>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</si>
  <si>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</si>
  <si>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</si>
  <si>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</si>
  <si>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</si>
  <si>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</si>
  <si>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</si>
  <si>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</si>
  <si>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</si>
  <si>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</si>
  <si>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</si>
  <si>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</si>
  <si>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</si>
  <si>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</si>
  <si>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</si>
  <si>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</si>
  <si>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</si>
  <si>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</si>
  <si>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</si>
  <si>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</si>
  <si>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</si>
  <si>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</si>
  <si>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</si>
  <si>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</si>
  <si>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Showing a daily trend with an area sparkline to spot patterns like busy days or trends.</t>
  </si>
  <si>
    <t>Use an area sparkline to track daily changes and highlights days with longer wait times that might need improvements.</t>
  </si>
  <si>
    <t>Count of Patient Admission Flag</t>
  </si>
  <si>
    <t>Count of Patient Admission Flag2</t>
  </si>
  <si>
    <t>F</t>
  </si>
  <si>
    <t>General Practice</t>
  </si>
  <si>
    <t>Orthopedics</t>
  </si>
  <si>
    <t>Gastroenterology</t>
  </si>
  <si>
    <t>Renal</t>
  </si>
  <si>
    <t>Neurology</t>
  </si>
  <si>
    <t>Physiotherapy</t>
  </si>
  <si>
    <t>Cardiology</t>
  </si>
  <si>
    <t>Admission Status</t>
  </si>
  <si>
    <t>No. of Patients</t>
  </si>
  <si>
    <t>Status</t>
  </si>
  <si>
    <t>Count of Age Group</t>
  </si>
  <si>
    <t>Count of Patient Gender</t>
  </si>
  <si>
    <t>Count of Department Referral</t>
  </si>
  <si>
    <t xml:space="preserve"> </t>
  </si>
  <si>
    <t>Use an area chart to show trends, spot drops in satisfaction, and link them to busy times or challenges.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</si>
</sst>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Aptos Narrow"/>
      <family val="2"/>
      <scheme val="minor"/>
    </font>
    <font>
      <sz val="11"/>
      <color theme="1"/>
      <name val="Aptos Narrow"/>
      <family val="2"/>
      <scheme val="minor"/>
    </font>
    <font>
      <b/>
      <sz val="14"/>
      <color theme="1"/>
      <name val="Aptos Narrow"/>
      <family val="2"/>
      <scheme val="minor"/>
    </font>
    <font>
      <b/>
      <sz val="11"/>
      <color theme="1"/>
      <name val="Aptos Narrow"/>
      <family val="2"/>
      <scheme val="minor"/>
    </font>
    <font>
      <b/>
      <sz val="10"/>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4"/>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 fontId="0" fillId="0" borderId="0" xfId="0" applyNumberFormat="1"/>
    <xf numFmtId="10" fontId="0" fillId="0" borderId="0" xfId="0" applyNumberFormat="1"/>
    <xf numFmtId="164" fontId="0" fillId="0" borderId="0" xfId="1" applyNumberFormat="1" applyFont="1"/>
    <xf numFmtId="0" fontId="0" fillId="3" borderId="0" xfId="0" applyFill="1" applyAlignment="1">
      <alignment horizontal="left"/>
    </xf>
    <xf numFmtId="0" fontId="0" fillId="3" borderId="0" xfId="0" applyFill="1"/>
    <xf numFmtId="0" fontId="2" fillId="0" borderId="0" xfId="0" applyFont="1" applyAlignment="1">
      <alignment horizontal="center"/>
    </xf>
    <xf numFmtId="0" fontId="0" fillId="0" borderId="0" xfId="0" applyAlignment="1">
      <alignment horizontal="center"/>
    </xf>
    <xf numFmtId="0" fontId="3" fillId="0" borderId="0" xfId="0" applyFont="1" applyAlignment="1">
      <alignment horizontal="center"/>
    </xf>
    <xf numFmtId="0" fontId="4" fillId="0" borderId="0" xfId="0" applyFont="1" applyAlignment="1">
      <alignment horizontal="center"/>
    </xf>
  </cellXfs>
  <cellStyles count="2">
    <cellStyle name="Normal" xfId="0" builtinId="0"/>
    <cellStyle name="Percent" xfId="1" builtinId="5"/>
  </cellStyles>
  <dxfs count="26">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1" formatCode="0"/>
    </dxf>
    <dxf>
      <numFmt numFmtId="1" formatCode="0"/>
    </dxf>
    <dxf>
      <numFmt numFmtId="2" formatCode="0.00"/>
    </dxf>
    <dxf>
      <font>
        <b/>
        <color theme="1"/>
      </font>
      <border>
        <bottom style="thin">
          <color theme="4"/>
        </bottom>
        <vertical/>
        <horizontal/>
      </border>
    </dxf>
    <dxf>
      <font>
        <sz val="7"/>
        <color theme="1"/>
      </font>
      <fill>
        <patternFill patternType="solid">
          <fgColor theme="4" tint="0.59996337778862885"/>
          <bgColor theme="4" tint="0.59996337778862885"/>
        </patternFill>
      </fill>
      <border diagonalUp="0" diagonalDown="0">
        <left/>
        <right/>
        <top/>
        <bottom/>
        <vertical/>
        <horizontal/>
      </border>
    </dxf>
    <dxf>
      <font>
        <b/>
        <color theme="1"/>
      </font>
      <fill>
        <patternFill>
          <fgColor theme="1"/>
        </patternFill>
      </fill>
      <border>
        <bottom style="thin">
          <color theme="4"/>
        </bottom>
        <vertical/>
        <horizontal/>
      </border>
    </dxf>
    <dxf>
      <font>
        <sz val="7"/>
        <color theme="1"/>
      </font>
      <fill>
        <patternFill patternType="solid">
          <fgColor theme="4" tint="0.59996337778862885"/>
          <bgColor rgb="FF73C6E7"/>
        </patternFill>
      </fill>
      <border diagonalUp="0" diagonalDown="0">
        <left/>
        <right/>
        <top/>
        <bottom/>
        <vertical/>
        <horizontal/>
      </border>
    </dxf>
    <dxf>
      <font>
        <b/>
        <color theme="1"/>
      </font>
      <border>
        <bottom style="thin">
          <color theme="4"/>
        </bottom>
        <vertical/>
        <horizontal/>
      </border>
    </dxf>
    <dxf>
      <font>
        <sz val="7"/>
        <color theme="1"/>
      </font>
      <fill>
        <patternFill>
          <fgColor theme="4" tint="0.59996337778862885"/>
        </patternFill>
      </fill>
      <border>
        <left style="thin">
          <color theme="4"/>
        </left>
        <right style="thin">
          <color theme="4"/>
        </right>
        <top style="thin">
          <color theme="4"/>
        </top>
        <bottom style="thin">
          <color theme="4"/>
        </bottom>
        <vertical/>
        <horizontal/>
      </border>
    </dxf>
  </dxfs>
  <tableStyles count="3" defaultTableStyle="TableStyleMedium2" defaultPivotStyle="PivotStyleLight16">
    <tableStyle name="Slicer" pivot="0" table="0" count="10" xr9:uid="{67D0F60E-2D36-48C6-B174-852A5BFB0F08}">
      <tableStyleElement type="wholeTable" dxfId="25"/>
      <tableStyleElement type="headerRow" dxfId="24"/>
    </tableStyle>
    <tableStyle name="Slicer 2" pivot="0" table="0" count="10" xr9:uid="{F660E806-5C7B-4B7E-B38D-95652AA2C85B}">
      <tableStyleElement type="wholeTable" dxfId="23"/>
      <tableStyleElement type="headerRow" dxfId="22"/>
    </tableStyle>
    <tableStyle name="Slicer 2 2" pivot="0" table="0" count="10" xr9:uid="{54D52FEE-5893-4900-A6F8-CD362EF21779}">
      <tableStyleElement type="wholeTable" dxfId="21"/>
      <tableStyleElement type="headerRow" dxfId="20"/>
    </tableStyle>
  </tableStyles>
  <colors>
    <mruColors>
      <color rgb="FF73C6E7"/>
      <color rgb="FF030D11"/>
    </mruColors>
  </colors>
  <extLst>
    <ext xmlns:x14="http://schemas.microsoft.com/office/spreadsheetml/2009/9/main" uri="{46F421CA-312F-682f-3DD2-61675219B42D}">
      <x14:dxfs count="24">
        <dxf>
          <font>
            <color rgb="FF000000"/>
          </font>
          <fill>
            <patternFill patternType="solid">
              <fgColor theme="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4" tint="0.59996337778862885"/>
              <bgColor auto="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1"/>
              <bgColor theme="4" tint="0.79995117038483843"/>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1"/>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1"/>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1"/>
              <bgColor rgb="FFFFFFF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1"/>
              <bgColor auto="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1"/>
              <bgColor theme="4" tint="0.79995117038483843"/>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1"/>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1"/>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1"/>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1"/>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[Dashboarf.xlsx]Pivot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0" tIns="0" rIns="0" bIns="7200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0" tIns="0" rIns="0" bIns="72000" anchor="ctr" anchorCtr="1">
                <a:spAutoFit/>
              </a:bodyPr>
              <a:lstStyle/>
              <a:p>
                <a:pPr>
                  <a:defRPr sz="400" b="0" i="0" u="none" strike="noStrike" kern="1200" baseline="0">
                    <a:solidFill>
                      <a:schemeClr val="tx1">
                        <a:lumMod val="75000"/>
                        <a:lumOff val="25000"/>
                      </a:schemeClr>
                    </a:solidFill>
                    <a:latin typeface="+mn-lt"/>
                    <a:ea typeface="+mn-ea"/>
                    <a:cs typeface="+mn-cs"/>
                  </a:defRPr>
                </a:pPr>
                <a:fld id="{F1924989-480D-4DF8-A1A7-454E2AE1B309}" type="CELLRANGE">
                  <a:rPr lang="en-US"/>
                  <a:pPr>
                    <a:defRPr sz="4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fld id="{190AC8DD-77B6-46C9-96CE-B10CDEB89159}" type="CELLRANGE">
                  <a:rPr lang="en-IN"/>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1.3774104683195593E-2"/>
          <c:y val="0"/>
          <c:w val="0.98622589531680438"/>
          <c:h val="0.96376811594202894"/>
        </c:manualLayout>
      </c:layout>
      <c:barChart>
        <c:barDir val="bar"/>
        <c:grouping val="clustered"/>
        <c:varyColors val="0"/>
        <c:ser>
          <c:idx val="0"/>
          <c:order val="0"/>
          <c:tx>
            <c:strRef>
              <c:f>'Pivot Report'!$C$39:$C$40</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55DA-4482-850F-2DBF6AC02865}"/>
              </c:ext>
            </c:extLst>
          </c:dPt>
          <c:dPt>
            <c:idx val="1"/>
            <c:invertIfNegative val="0"/>
            <c:bubble3D val="0"/>
            <c:extLst>
              <c:ext xmlns:c16="http://schemas.microsoft.com/office/drawing/2014/chart" uri="{C3380CC4-5D6E-409C-BE32-E72D297353CC}">
                <c16:uniqueId val="{00000004-55DA-4482-850F-2DBF6AC02865}"/>
              </c:ext>
            </c:extLst>
          </c:dPt>
          <c:dLbls>
            <c:dLbl>
              <c:idx val="0"/>
              <c:tx>
                <c:rich>
                  <a:bodyPr/>
                  <a:lstStyle/>
                  <a:p>
                    <a:fld id="{F1924989-480D-4DF8-A1A7-454E2AE1B30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5DA-4482-850F-2DBF6AC02865}"/>
                </c:ext>
              </c:extLst>
            </c:dLbl>
            <c:dLbl>
              <c:idx val="1"/>
              <c:tx>
                <c:rich>
                  <a:bodyPr rot="0" spcFirstLastPara="1" vertOverflow="ellipsis" vert="horz" wrap="non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fld id="{190AC8DD-77B6-46C9-96CE-B10CDEB89159}" type="CELLRANGE">
                      <a:rPr lang="en-IN"/>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 xmlns:c16="http://schemas.microsoft.com/office/drawing/2014/chart" uri="{C3380CC4-5D6E-409C-BE32-E72D297353CC}">
                  <c16:uniqueId val="{00000004-55DA-4482-850F-2DBF6AC02865}"/>
                </c:ext>
              </c:extLst>
            </c:dLbl>
            <c:spPr>
              <a:noFill/>
              <a:ln>
                <a:noFill/>
              </a:ln>
              <a:effectLst/>
            </c:spPr>
            <c:txPr>
              <a:bodyPr rot="0" spcFirstLastPara="1" vertOverflow="ellipsis" vert="horz" wrap="square" lIns="0" tIns="0" rIns="0" bIns="7200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Report'!$C$39:$C$40</c:f>
              <c:strCache>
                <c:ptCount val="2"/>
                <c:pt idx="0">
                  <c:v>Admitted</c:v>
                </c:pt>
                <c:pt idx="1">
                  <c:v>Not Admitted</c:v>
                </c:pt>
              </c:strCache>
            </c:strRef>
          </c:cat>
          <c:val>
            <c:numRef>
              <c:f>'Pivot Report'!$C$39:$C$40</c:f>
              <c:numCache>
                <c:formatCode>0</c:formatCode>
                <c:ptCount val="2"/>
                <c:pt idx="0">
                  <c:v>266</c:v>
                </c:pt>
                <c:pt idx="1">
                  <c:v>222</c:v>
                </c:pt>
              </c:numCache>
            </c:numRef>
          </c:val>
          <c:extLst>
            <c:ext xmlns:c15="http://schemas.microsoft.com/office/drawing/2012/chart" uri="{02D57815-91ED-43cb-92C2-25804820EDAC}">
              <c15:datalabelsRange>
                <c15:f>'Pivot Report'!$C$39:$C$40</c15:f>
                <c15:dlblRangeCache>
                  <c:ptCount val="2"/>
                  <c:pt idx="0">
                    <c:v>54.51%</c:v>
                  </c:pt>
                  <c:pt idx="1">
                    <c:v>45.49%</c:v>
                  </c:pt>
                </c15:dlblRangeCache>
              </c15:datalabelsRange>
            </c:ext>
            <c:ext xmlns:c16="http://schemas.microsoft.com/office/drawing/2014/chart" uri="{C3380CC4-5D6E-409C-BE32-E72D297353CC}">
              <c16:uniqueId val="{00000000-55DA-4482-850F-2DBF6AC02865}"/>
            </c:ext>
          </c:extLst>
        </c:ser>
        <c:ser>
          <c:idx val="1"/>
          <c:order val="1"/>
          <c:tx>
            <c:strRef>
              <c:f>'Pivot Report'!$C$39:$C$40</c:f>
              <c:strCache>
                <c:ptCount val="1"/>
                <c:pt idx="0">
                  <c:v>Count of Patient Admission Flag2</c:v>
                </c:pt>
              </c:strCache>
            </c:strRef>
          </c:tx>
          <c:spPr>
            <a:solidFill>
              <a:schemeClr val="accent2"/>
            </a:solidFill>
            <a:ln>
              <a:noFill/>
            </a:ln>
            <a:effectLst/>
          </c:spPr>
          <c:invertIfNegative val="0"/>
          <c:cat>
            <c:strRef>
              <c:f>'Pivot Report'!$C$39:$C$40</c:f>
              <c:strCache>
                <c:ptCount val="2"/>
                <c:pt idx="0">
                  <c:v>Admitted</c:v>
                </c:pt>
                <c:pt idx="1">
                  <c:v>Not Admitted</c:v>
                </c:pt>
              </c:strCache>
            </c:strRef>
          </c:cat>
          <c:val>
            <c:numRef>
              <c:f>'Pivot Report'!$C$39:$C$40</c:f>
              <c:numCache>
                <c:formatCode>0.00%</c:formatCode>
                <c:ptCount val="2"/>
                <c:pt idx="0">
                  <c:v>0.54508196721311475</c:v>
                </c:pt>
                <c:pt idx="1">
                  <c:v>0.45491803278688525</c:v>
                </c:pt>
              </c:numCache>
            </c:numRef>
          </c:val>
          <c:extLst>
            <c:ext xmlns:c16="http://schemas.microsoft.com/office/drawing/2014/chart" uri="{C3380CC4-5D6E-409C-BE32-E72D297353CC}">
              <c16:uniqueId val="{00000001-55DA-4482-850F-2DBF6AC02865}"/>
            </c:ext>
          </c:extLst>
        </c:ser>
        <c:dLbls>
          <c:showLegendKey val="0"/>
          <c:showVal val="0"/>
          <c:showCatName val="0"/>
          <c:showSerName val="0"/>
          <c:showPercent val="0"/>
          <c:showBubbleSize val="0"/>
        </c:dLbls>
        <c:gapWidth val="30"/>
        <c:overlap val="-29"/>
        <c:axId val="872363088"/>
        <c:axId val="726601520"/>
      </c:barChart>
      <c:catAx>
        <c:axId val="872363088"/>
        <c:scaling>
          <c:orientation val="minMax"/>
        </c:scaling>
        <c:delete val="1"/>
        <c:axPos val="l"/>
        <c:numFmt formatCode="General" sourceLinked="1"/>
        <c:majorTickMark val="none"/>
        <c:minorTickMark val="none"/>
        <c:tickLblPos val="nextTo"/>
        <c:crossAx val="726601520"/>
        <c:crosses val="autoZero"/>
        <c:auto val="1"/>
        <c:lblAlgn val="ctr"/>
        <c:lblOffset val="100"/>
        <c:noMultiLvlLbl val="0"/>
      </c:catAx>
      <c:valAx>
        <c:axId val="726601520"/>
        <c:scaling>
          <c:orientation val="minMax"/>
        </c:scaling>
        <c:delete val="1"/>
        <c:axPos val="b"/>
        <c:numFmt formatCode="0" sourceLinked="1"/>
        <c:majorTickMark val="none"/>
        <c:minorTickMark val="none"/>
        <c:tickLblPos val="nextTo"/>
        <c:crossAx val="87236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[Dashboarf.xlsx]Pivot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053399284671191E-3"/>
          <c:y val="1.1492127608129826E-2"/>
          <c:w val="0.98100664767331436"/>
          <c:h val="0.91625538693481634"/>
        </c:manualLayout>
      </c:layout>
      <c:areaChart>
        <c:grouping val="standard"/>
        <c:varyColors val="0"/>
        <c:ser>
          <c:idx val="0"/>
          <c:order val="0"/>
          <c:tx>
            <c:strRef>
              <c:f>'Pivot Report'!$E$3</c:f>
              <c:strCache>
                <c:ptCount val="1"/>
                <c:pt idx="0">
                  <c:v>Total</c:v>
                </c:pt>
              </c:strCache>
            </c:strRef>
          </c:tx>
          <c:spPr>
            <a:solidFill>
              <a:schemeClr val="accent1"/>
            </a:solidFill>
            <a:ln>
              <a:noFill/>
            </a:ln>
            <a:effectLst/>
          </c:spPr>
          <c:cat>
            <c:strRef>
              <c:f>'Pivot Report'!$D$4:$D$35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Report'!$E$4:$E$35</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E6DE-4695-B294-AAF4A0A4A6DA}"/>
            </c:ext>
          </c:extLst>
        </c:ser>
        <c:dLbls>
          <c:showLegendKey val="0"/>
          <c:showVal val="0"/>
          <c:showCatName val="0"/>
          <c:showSerName val="0"/>
          <c:showPercent val="0"/>
          <c:showBubbleSize val="0"/>
        </c:dLbls>
        <c:axId val="810525696"/>
        <c:axId val="726597680"/>
      </c:areaChart>
      <c:catAx>
        <c:axId val="810525696"/>
        <c:scaling>
          <c:orientation val="minMax"/>
        </c:scaling>
        <c:delete val="1"/>
        <c:axPos val="b"/>
        <c:numFmt formatCode="General" sourceLinked="1"/>
        <c:majorTickMark val="out"/>
        <c:minorTickMark val="none"/>
        <c:tickLblPos val="nextTo"/>
        <c:crossAx val="726597680"/>
        <c:crosses val="autoZero"/>
        <c:auto val="1"/>
        <c:lblAlgn val="ctr"/>
        <c:lblOffset val="100"/>
        <c:noMultiLvlLbl val="0"/>
      </c:catAx>
      <c:valAx>
        <c:axId val="726597680"/>
        <c:scaling>
          <c:orientation val="minMax"/>
        </c:scaling>
        <c:delete val="1"/>
        <c:axPos val="l"/>
        <c:numFmt formatCode="General" sourceLinked="1"/>
        <c:majorTickMark val="none"/>
        <c:minorTickMark val="none"/>
        <c:tickLblPos val="nextTo"/>
        <c:crossAx val="8105256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[Dashboarf.xlsx]Pivot Report!PivotTable5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992330717071226E-3"/>
          <c:y val="1.2380357733848629E-2"/>
          <c:w val="0.98290230078487861"/>
          <c:h val="0.97523928453230291"/>
        </c:manualLayout>
      </c:layout>
      <c:areaChart>
        <c:grouping val="standard"/>
        <c:varyColors val="0"/>
        <c:ser>
          <c:idx val="0"/>
          <c:order val="0"/>
          <c:tx>
            <c:strRef>
              <c:f>'Pivot Report'!$H$3</c:f>
              <c:strCache>
                <c:ptCount val="1"/>
                <c:pt idx="0">
                  <c:v>Total</c:v>
                </c:pt>
              </c:strCache>
            </c:strRef>
          </c:tx>
          <c:spPr>
            <a:solidFill>
              <a:schemeClr val="accent1"/>
            </a:solidFill>
            <a:ln>
              <a:noFill/>
            </a:ln>
            <a:effectLst/>
          </c:spPr>
          <c:cat>
            <c:strRef>
              <c:f>'Pivot Report'!$G$4:$G$35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Report'!$H$4:$H$35</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0-37D5-40E9-8B2F-85EAC628A628}"/>
            </c:ext>
          </c:extLst>
        </c:ser>
        <c:dLbls>
          <c:showLegendKey val="0"/>
          <c:showVal val="0"/>
          <c:showCatName val="0"/>
          <c:showSerName val="0"/>
          <c:showPercent val="0"/>
          <c:showBubbleSize val="0"/>
        </c:dLbls>
        <c:axId val="145192864"/>
        <c:axId val="726577040"/>
      </c:areaChart>
      <c:catAx>
        <c:axId val="145192864"/>
        <c:scaling>
          <c:orientation val="minMax"/>
        </c:scaling>
        <c:delete val="1"/>
        <c:axPos val="b"/>
        <c:numFmt formatCode="General" sourceLinked="1"/>
        <c:majorTickMark val="out"/>
        <c:minorTickMark val="none"/>
        <c:tickLblPos val="nextTo"/>
        <c:crossAx val="726577040"/>
        <c:crosses val="autoZero"/>
        <c:auto val="1"/>
        <c:lblAlgn val="ctr"/>
        <c:lblOffset val="100"/>
        <c:noMultiLvlLbl val="0"/>
      </c:catAx>
      <c:valAx>
        <c:axId val="726577040"/>
        <c:scaling>
          <c:orientation val="minMax"/>
        </c:scaling>
        <c:delete val="1"/>
        <c:axPos val="l"/>
        <c:numFmt formatCode="0.00" sourceLinked="1"/>
        <c:majorTickMark val="none"/>
        <c:minorTickMark val="none"/>
        <c:tickLblPos val="nextTo"/>
        <c:crossAx val="145192864"/>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[Dashboarf.xlsx]Pivot Report!PivotTable6</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666666666666666E-2"/>
          <c:y val="0"/>
          <c:w val="0.98333333333333328"/>
          <c:h val="0.9907407407407407"/>
        </c:manualLayout>
      </c:layout>
      <c:areaChart>
        <c:grouping val="standard"/>
        <c:varyColors val="0"/>
        <c:ser>
          <c:idx val="0"/>
          <c:order val="0"/>
          <c:tx>
            <c:strRef>
              <c:f>'Pivot Report'!$K$3</c:f>
              <c:strCache>
                <c:ptCount val="1"/>
                <c:pt idx="0">
                  <c:v>Total</c:v>
                </c:pt>
              </c:strCache>
            </c:strRef>
          </c:tx>
          <c:spPr>
            <a:solidFill>
              <a:schemeClr val="accent1"/>
            </a:solidFill>
            <a:ln>
              <a:noFill/>
            </a:ln>
            <a:effectLst/>
          </c:spPr>
          <c:cat>
            <c:strRef>
              <c:f>'Pivot Report'!$J$4:$J$35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Report'!$K$4:$K$35</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0-DA8F-433F-A67E-3AD1028FDCD5}"/>
            </c:ext>
          </c:extLst>
        </c:ser>
        <c:dLbls>
          <c:showLegendKey val="0"/>
          <c:showVal val="0"/>
          <c:showCatName val="0"/>
          <c:showSerName val="0"/>
          <c:showPercent val="0"/>
          <c:showBubbleSize val="0"/>
        </c:dLbls>
        <c:axId val="872336176"/>
        <c:axId val="726622160"/>
      </c:areaChart>
      <c:catAx>
        <c:axId val="872336176"/>
        <c:scaling>
          <c:orientation val="minMax"/>
        </c:scaling>
        <c:delete val="1"/>
        <c:axPos val="b"/>
        <c:numFmt formatCode="General" sourceLinked="1"/>
        <c:majorTickMark val="out"/>
        <c:minorTickMark val="none"/>
        <c:tickLblPos val="nextTo"/>
        <c:crossAx val="726622160"/>
        <c:crosses val="autoZero"/>
        <c:auto val="1"/>
        <c:lblAlgn val="ctr"/>
        <c:lblOffset val="100"/>
        <c:noMultiLvlLbl val="0"/>
      </c:catAx>
      <c:valAx>
        <c:axId val="726622160"/>
        <c:scaling>
          <c:orientation val="minMax"/>
        </c:scaling>
        <c:delete val="1"/>
        <c:axPos val="l"/>
        <c:numFmt formatCode="0.00" sourceLinked="1"/>
        <c:majorTickMark val="none"/>
        <c:minorTickMark val="none"/>
        <c:tickLblPos val="nextTo"/>
        <c:crossAx val="8723361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[Dashboarf.xlsx]Pivot Report!PivotTable9</c:name>
    <c:fmtId val="37"/>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0" tIns="0" rIns="0" bIns="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
          <c:y val="0.5153305395827722"/>
          <c:w val="1"/>
          <c:h val="0.26719797325667966"/>
        </c:manualLayout>
      </c:layout>
      <c:barChart>
        <c:barDir val="col"/>
        <c:grouping val="clustered"/>
        <c:varyColors val="0"/>
        <c:ser>
          <c:idx val="0"/>
          <c:order val="0"/>
          <c:tx>
            <c:strRef>
              <c:f>'Pivot Report'!$B$55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0" tIns="0" rIns="0" bIns="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Report'!$A$56:$A$64</c:f>
              <c:strCache>
                <c:ptCount val="8"/>
                <c:pt idx="0">
                  <c:v>0-09</c:v>
                </c:pt>
                <c:pt idx="1">
                  <c:v>10-19</c:v>
                </c:pt>
                <c:pt idx="2">
                  <c:v>20-29</c:v>
                </c:pt>
                <c:pt idx="3">
                  <c:v>30-39</c:v>
                </c:pt>
                <c:pt idx="4">
                  <c:v>40-49</c:v>
                </c:pt>
                <c:pt idx="5">
                  <c:v>50-59</c:v>
                </c:pt>
                <c:pt idx="6">
                  <c:v>60-69</c:v>
                </c:pt>
                <c:pt idx="7">
                  <c:v>70-79</c:v>
                </c:pt>
              </c:strCache>
            </c:strRef>
          </c:cat>
          <c:val>
            <c:numRef>
              <c:f>'Pivot Report'!$B$56:$B$64</c:f>
              <c:numCache>
                <c:formatCode>0.00</c:formatCode>
                <c:ptCount val="8"/>
                <c:pt idx="0">
                  <c:v>62</c:v>
                </c:pt>
                <c:pt idx="1">
                  <c:v>73</c:v>
                </c:pt>
                <c:pt idx="2">
                  <c:v>49</c:v>
                </c:pt>
                <c:pt idx="3">
                  <c:v>44</c:v>
                </c:pt>
                <c:pt idx="4">
                  <c:v>72</c:v>
                </c:pt>
                <c:pt idx="5">
                  <c:v>71</c:v>
                </c:pt>
                <c:pt idx="6">
                  <c:v>59</c:v>
                </c:pt>
                <c:pt idx="7">
                  <c:v>58</c:v>
                </c:pt>
              </c:numCache>
            </c:numRef>
          </c:val>
          <c:extLst>
            <c:ext xmlns:c16="http://schemas.microsoft.com/office/drawing/2014/chart" uri="{C3380CC4-5D6E-409C-BE32-E72D297353CC}">
              <c16:uniqueId val="{00000000-A065-4A35-AC49-289E38F22AC2}"/>
            </c:ext>
          </c:extLst>
        </c:ser>
        <c:dLbls>
          <c:showLegendKey val="0"/>
          <c:showVal val="0"/>
          <c:showCatName val="0"/>
          <c:showSerName val="0"/>
          <c:showPercent val="0"/>
          <c:showBubbleSize val="0"/>
        </c:dLbls>
        <c:gapWidth val="219"/>
        <c:overlap val="-27"/>
        <c:axId val="871005840"/>
        <c:axId val="685571344"/>
      </c:barChart>
      <c:catAx>
        <c:axId val="87100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5571344"/>
        <c:crosses val="autoZero"/>
        <c:auto val="1"/>
        <c:lblAlgn val="ctr"/>
        <c:lblOffset val="100"/>
        <c:noMultiLvlLbl val="0"/>
      </c:catAx>
      <c:valAx>
        <c:axId val="685571344"/>
        <c:scaling>
          <c:orientation val="minMax"/>
        </c:scaling>
        <c:delete val="1"/>
        <c:axPos val="l"/>
        <c:numFmt formatCode="0.00" sourceLinked="1"/>
        <c:majorTickMark val="none"/>
        <c:minorTickMark val="none"/>
        <c:tickLblPos val="nextTo"/>
        <c:crossAx val="87100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[Dashboarf.xlsx]Pivot Report!PivotTable10</c:name>
    <c:fmtId val="45"/>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c:spPr>
        <c:marker>
          <c:symbol val="none"/>
        </c:marker>
        <c:dLbl>
          <c:idx val="0"/>
          <c:spPr>
            <a:noFill/>
            <a:ln>
              <a:noFill/>
            </a:ln>
            <a:effectLst/>
          </c:spPr>
          <c:txPr>
            <a:bodyPr rot="0" spcFirstLastPara="1" vertOverflow="ellipsis" vert="horz" wrap="square" lIns="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solidFill>
          <a:ln w="19050">
            <a:solidFill>
              <a:schemeClr val="lt1"/>
            </a:solidFill>
          </a:ln>
          <a:effectLst/>
        </c:spPr>
        <c:dLbl>
          <c:idx val="0"/>
          <c:tx>
            <c:rich>
              <a:bodyPr rot="0" spcFirstLastPara="1" vertOverflow="ellipsis" vert="horz" wrap="square" lIns="0" tIns="19050" rIns="38100" bIns="19050" anchor="ctr" anchorCtr="1">
                <a:spAutoFit/>
              </a:bodyPr>
              <a:lstStyle/>
              <a:p>
                <a:pPr>
                  <a:defRPr sz="900" b="1" i="0" u="none" strike="noStrike" kern="1200" baseline="0">
                    <a:solidFill>
                      <a:schemeClr val="bg1"/>
                    </a:solidFill>
                    <a:latin typeface="+mn-lt"/>
                    <a:ea typeface="+mn-ea"/>
                    <a:cs typeface="+mn-cs"/>
                  </a:defRPr>
                </a:pPr>
                <a:fld id="{A639F003-93E1-4710-814B-AD0E30FFAB27}" type="PERCENTAGE">
                  <a:rPr lang="en-US" b="1">
                    <a:solidFill>
                      <a:schemeClr val="bg1"/>
                    </a:solidFill>
                  </a:rPr>
                  <a:pPr>
                    <a:defRPr sz="900" b="1" i="0" u="none" strike="noStrike" kern="1200" baseline="0">
                      <a:solidFill>
                        <a:schemeClr val="bg1"/>
                      </a:solidFill>
                      <a:latin typeface="+mn-lt"/>
                      <a:ea typeface="+mn-ea"/>
                      <a:cs typeface="+mn-cs"/>
                    </a:defRPr>
                  </a:pPr>
                  <a:t>[PERCENTAGE]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6"/>
        <c:spPr>
          <a:solidFill>
            <a:schemeClr val="accent1">
              <a:lumMod val="40000"/>
              <a:lumOff val="60000"/>
            </a:schemeClr>
          </a:solidFill>
          <a:ln w="19050">
            <a:solidFill>
              <a:schemeClr val="lt1"/>
            </a:solidFill>
          </a:ln>
          <a:effectLst/>
        </c:spPr>
        <c:dLbl>
          <c:idx val="0"/>
          <c:tx>
            <c:rich>
              <a:bodyPr rot="0" spcFirstLastPara="1" vertOverflow="ellipsis" vert="horz" wrap="square" lIns="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515538DC-C380-4B51-A9B2-7A07D807AAB8}" type="PERCENTAGE">
                  <a:rPr lang="en-US" b="1"/>
                  <a:pPr>
                    <a:defRPr sz="900" b="1"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s>
    <c:plotArea>
      <c:layout>
        <c:manualLayout>
          <c:layoutTarget val="inner"/>
          <c:xMode val="edge"/>
          <c:yMode val="edge"/>
          <c:x val="0.14397438196873225"/>
          <c:y val="0.2072434496814351"/>
          <c:w val="0.5978672441071049"/>
          <c:h val="0.74963409287422267"/>
        </c:manualLayout>
      </c:layout>
      <c:pieChart>
        <c:varyColors val="1"/>
        <c:ser>
          <c:idx val="0"/>
          <c:order val="0"/>
          <c:tx>
            <c:strRef>
              <c:f>'Pivot Report'!$E$55</c:f>
              <c:strCache>
                <c:ptCount val="1"/>
                <c:pt idx="0">
                  <c:v>Total</c:v>
                </c:pt>
              </c:strCache>
            </c:strRef>
          </c:tx>
          <c:spPr>
            <a:solidFill>
              <a:schemeClr val="accent1"/>
            </a:solid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2C-48ED-8E09-A1E1F3F11803}"/>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432C-48ED-8E09-A1E1F3F11803}"/>
              </c:ext>
            </c:extLst>
          </c:dPt>
          <c:dLbls>
            <c:dLbl>
              <c:idx val="0"/>
              <c:tx>
                <c:rich>
                  <a:bodyPr rot="0" spcFirstLastPara="1" vertOverflow="ellipsis" vert="horz" wrap="square" lIns="0" tIns="19050" rIns="38100" bIns="19050" anchor="ctr" anchorCtr="1">
                    <a:spAutoFit/>
                  </a:bodyPr>
                  <a:lstStyle/>
                  <a:p>
                    <a:pPr>
                      <a:defRPr sz="900" b="1" i="0" u="none" strike="noStrike" kern="1200" baseline="0">
                        <a:solidFill>
                          <a:schemeClr val="bg1"/>
                        </a:solidFill>
                        <a:latin typeface="+mn-lt"/>
                        <a:ea typeface="+mn-ea"/>
                        <a:cs typeface="+mn-cs"/>
                      </a:defRPr>
                    </a:pPr>
                    <a:fld id="{A639F003-93E1-4710-814B-AD0E30FFAB27}" type="PERCENTAGE">
                      <a:rPr lang="en-US" b="1">
                        <a:solidFill>
                          <a:schemeClr val="bg1"/>
                        </a:solidFill>
                      </a:rPr>
                      <a:pPr>
                        <a:defRPr sz="900" b="1" i="0" u="none" strike="noStrike" kern="1200" baseline="0">
                          <a:solidFill>
                            <a:schemeClr val="bg1"/>
                          </a:solidFill>
                          <a:latin typeface="+mn-lt"/>
                          <a:ea typeface="+mn-ea"/>
                          <a:cs typeface="+mn-cs"/>
                        </a:defRPr>
                      </a:pPr>
                      <a:t>[PERCENTAGE]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1-432C-48ED-8E09-A1E1F3F11803}"/>
                </c:ext>
              </c:extLst>
            </c:dLbl>
            <c:dLbl>
              <c:idx val="1"/>
              <c:tx>
                <c:rich>
                  <a:bodyPr/>
                  <a:lstStyle/>
                  <a:p>
                    <a:fld id="{515538DC-C380-4B51-A9B2-7A07D807AAB8}" type="PERCENTAGE">
                      <a:rPr lang="en-US" b="1"/>
                      <a:pPr/>
                      <a:t>[PERCENTAGE]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32C-48ED-8E09-A1E1F3F11803}"/>
                </c:ext>
              </c:extLst>
            </c:dLbl>
            <c:spPr>
              <a:noFill/>
              <a:ln>
                <a:noFill/>
              </a:ln>
              <a:effectLst/>
            </c:spPr>
            <c:txPr>
              <a:bodyPr rot="0" spcFirstLastPara="1" vertOverflow="ellipsis" vert="horz" wrap="square" lIns="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Report'!$D$56:$D$58</c:f>
              <c:strCache>
                <c:ptCount val="2"/>
                <c:pt idx="0">
                  <c:v>Delay</c:v>
                </c:pt>
                <c:pt idx="1">
                  <c:v>Ontime</c:v>
                </c:pt>
              </c:strCache>
            </c:strRef>
          </c:cat>
          <c:val>
            <c:numRef>
              <c:f>'Pivot Report'!$E$56:$E$58</c:f>
              <c:numCache>
                <c:formatCode>0.00</c:formatCode>
                <c:ptCount val="2"/>
                <c:pt idx="0">
                  <c:v>288</c:v>
                </c:pt>
                <c:pt idx="1">
                  <c:v>200</c:v>
                </c:pt>
              </c:numCache>
            </c:numRef>
          </c:val>
          <c:extLst>
            <c:ext xmlns:c16="http://schemas.microsoft.com/office/drawing/2014/chart" uri="{C3380CC4-5D6E-409C-BE32-E72D297353CC}">
              <c16:uniqueId val="{00000004-432C-48ED-8E09-A1E1F3F11803}"/>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
          <c:y val="1.1482107118594275E-2"/>
          <c:w val="0.76178185899581374"/>
          <c:h val="0.25115899787366375"/>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[Dashboarf.xlsx]Pivot Report!PivotTable11</c:name>
    <c:fmtId val="5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fld id="{7427A4FD-E6EE-4BC5-990C-82C82A21EE3D}" type="PERCENTAGE">
                  <a:rPr lang="en-US" b="1">
                    <a:solidFill>
                      <a:schemeClr val="bg1"/>
                    </a:solidFill>
                  </a:rPr>
                  <a:pPr>
                    <a:defRPr sz="700" b="1">
                      <a:solidFill>
                        <a:schemeClr val="bg1"/>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40000"/>
              <a:lumOff val="6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fld id="{870C79D5-98EB-4668-A2D7-B80D44BAF6DF}" type="PERCENTAGE">
                  <a:rPr lang="en-US" b="1"/>
                  <a:pPr>
                    <a:defRPr sz="700" b="1"/>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2882730935578208"/>
          <c:y val="0.19788687977010208"/>
          <c:w val="0.54234538128843579"/>
          <c:h val="0.5746037433055291"/>
        </c:manualLayout>
      </c:layout>
      <c:doughnutChart>
        <c:varyColors val="1"/>
        <c:ser>
          <c:idx val="0"/>
          <c:order val="0"/>
          <c:tx>
            <c:strRef>
              <c:f>'Pivot Report'!$H$55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0C-4785-BE4B-F10A3484B710}"/>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390C-4785-BE4B-F10A3484B7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0C-4785-BE4B-F10A3484B710}"/>
              </c:ext>
            </c:extLst>
          </c:dPt>
          <c:dLbls>
            <c:dLbl>
              <c:idx val="0"/>
              <c:tx>
                <c:rich>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fld id="{7427A4FD-E6EE-4BC5-990C-82C82A21EE3D}" type="PERCENTAGE">
                      <a:rPr lang="en-US" b="1">
                        <a:solidFill>
                          <a:schemeClr val="bg1"/>
                        </a:solidFill>
                      </a:rPr>
                      <a:pPr>
                        <a:defRPr sz="700" b="1">
                          <a:solidFill>
                            <a:schemeClr val="bg1"/>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90C-4785-BE4B-F10A3484B710}"/>
                </c:ext>
              </c:extLst>
            </c:dLbl>
            <c:dLbl>
              <c:idx val="1"/>
              <c:tx>
                <c:rich>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fld id="{870C79D5-98EB-4668-A2D7-B80D44BAF6DF}" type="PERCENTAGE">
                      <a:rPr lang="en-US" b="1"/>
                      <a:pPr>
                        <a:defRPr sz="700" b="1"/>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90C-4785-BE4B-F10A3484B710}"/>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Report'!$G$56:$G$58</c:f>
              <c:strCache>
                <c:ptCount val="2"/>
                <c:pt idx="0">
                  <c:v>F</c:v>
                </c:pt>
                <c:pt idx="1">
                  <c:v>Male</c:v>
                </c:pt>
              </c:strCache>
            </c:strRef>
          </c:cat>
          <c:val>
            <c:numRef>
              <c:f>'Pivot Report'!$H$56:$H$58</c:f>
              <c:numCache>
                <c:formatCode>0</c:formatCode>
                <c:ptCount val="2"/>
                <c:pt idx="0">
                  <c:v>232</c:v>
                </c:pt>
                <c:pt idx="1">
                  <c:v>256</c:v>
                </c:pt>
              </c:numCache>
            </c:numRef>
          </c:val>
          <c:extLst>
            <c:ext xmlns:c16="http://schemas.microsoft.com/office/drawing/2014/chart" uri="{C3380CC4-5D6E-409C-BE32-E72D297353CC}">
              <c16:uniqueId val="{00000006-390C-4785-BE4B-F10A3484B710}"/>
            </c:ext>
          </c:extLst>
        </c:ser>
        <c:dLbls>
          <c:showLegendKey val="0"/>
          <c:showVal val="0"/>
          <c:showCatName val="0"/>
          <c:showSerName val="0"/>
          <c:showPercent val="0"/>
          <c:showBubbleSize val="0"/>
          <c:showLeaderLines val="1"/>
        </c:dLbls>
        <c:firstSliceAng val="0"/>
        <c:holeSize val="48"/>
      </c:doughnutChart>
      <c:spPr>
        <a:solidFill>
          <a:schemeClr val="accent1">
            <a:lumMod val="40000"/>
            <a:lumOff val="60000"/>
          </a:schemeClr>
        </a:solidFill>
        <a:ln>
          <a:noFill/>
        </a:ln>
        <a:effectLst/>
      </c:spPr>
    </c:plotArea>
    <c:legend>
      <c:legendPos val="t"/>
      <c:legendEntry>
        <c:idx val="0"/>
        <c:delete val="1"/>
      </c:legendEntry>
      <c:layout>
        <c:manualLayout>
          <c:xMode val="edge"/>
          <c:yMode val="edge"/>
          <c:x val="0.15694044924267883"/>
          <c:y val="3.7918229487394803E-2"/>
          <c:w val="0.68611910151464239"/>
          <c:h val="0.159968650282707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[Dashboarf.xlsx]Pivot Report!PivotTable12</c:name>
    <c:fmtId val="55"/>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180000" tIns="0" rIns="360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'Pivot Report'!$K$55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180000" tIns="0" rIns="360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'Pivot Report'!$J$56:$J$64</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Report'!$K$56:$K$64</c:f>
              <c:numCache>
                <c:formatCode>0</c:formatCode>
                <c:ptCount val="8"/>
                <c:pt idx="0">
                  <c:v>11</c:v>
                </c:pt>
                <c:pt idx="1">
                  <c:v>11</c:v>
                </c:pt>
                <c:pt idx="2">
                  <c:v>93</c:v>
                </c:pt>
                <c:pt idx="3">
                  <c:v>7</c:v>
                </c:pt>
                <c:pt idx="4">
                  <c:v>290</c:v>
                </c:pt>
                <c:pt idx="5">
                  <c:v>60</c:v>
                </c:pt>
                <c:pt idx="6">
                  <c:v>12</c:v>
                </c:pt>
                <c:pt idx="7">
                  <c:v>4</c:v>
                </c:pt>
              </c:numCache>
            </c:numRef>
          </c:val>
          <c:extLst>
            <c:ext xmlns:c16="http://schemas.microsoft.com/office/drawing/2014/chart" uri="{C3380CC4-5D6E-409C-BE32-E72D297353CC}">
              <c16:uniqueId val="{00000000-8683-421B-8CAF-F69123B88D73}"/>
            </c:ext>
          </c:extLst>
        </c:ser>
        <c:dLbls>
          <c:showLegendKey val="0"/>
          <c:showVal val="0"/>
          <c:showCatName val="0"/>
          <c:showSerName val="0"/>
          <c:showPercent val="0"/>
          <c:showBubbleSize val="0"/>
        </c:dLbls>
        <c:gapWidth val="10"/>
        <c:overlap val="100"/>
        <c:axId val="871004912"/>
        <c:axId val="685560784"/>
      </c:barChart>
      <c:catAx>
        <c:axId val="87100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crossAx val="685560784"/>
        <c:crosses val="autoZero"/>
        <c:auto val="1"/>
        <c:lblAlgn val="ctr"/>
        <c:lblOffset val="100"/>
        <c:noMultiLvlLbl val="0"/>
      </c:catAx>
      <c:valAx>
        <c:axId val="6855607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100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[Dashboarf.xlsx]Pivot Report!PivotTable4</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053399284671191E-3"/>
          <c:y val="1.1492127608129826E-2"/>
          <c:w val="0.98100664767331436"/>
          <c:h val="0.91625538693481634"/>
        </c:manualLayout>
      </c:layout>
      <c:areaChart>
        <c:grouping val="standard"/>
        <c:varyColors val="0"/>
        <c:ser>
          <c:idx val="0"/>
          <c:order val="0"/>
          <c:tx>
            <c:strRef>
              <c:f>'Pivot Report'!$E$3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Report'!$D$4:$D$35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Report'!$E$4:$E$35</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8C7F-4452-AED8-FE4B2B4D409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10525696"/>
        <c:axId val="726597680"/>
      </c:areaChart>
      <c:catAx>
        <c:axId val="8105256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26597680"/>
        <c:crosses val="autoZero"/>
        <c:auto val="1"/>
        <c:lblAlgn val="ctr"/>
        <c:lblOffset val="100"/>
        <c:noMultiLvlLbl val="0"/>
      </c:catAx>
      <c:valAx>
        <c:axId val="726597680"/>
        <c:scaling>
          <c:orientation val="minMax"/>
        </c:scaling>
        <c:delete val="1"/>
        <c:axPos val="l"/>
        <c:numFmt formatCode="General" sourceLinked="1"/>
        <c:majorTickMark val="out"/>
        <c:minorTickMark val="none"/>
        <c:tickLblPos val="nextTo"/>
        <c:crossAx val="8105256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[Dashboarf.xlsx]Pivot Report!PivotTable5</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992330717071226E-3"/>
          <c:y val="1.2380357733848629E-2"/>
          <c:w val="0.98290230078487861"/>
          <c:h val="0.97523928453230291"/>
        </c:manualLayout>
      </c:layout>
      <c:areaChart>
        <c:grouping val="standard"/>
        <c:varyColors val="0"/>
        <c:ser>
          <c:idx val="0"/>
          <c:order val="0"/>
          <c:tx>
            <c:strRef>
              <c:f>'Pivot Report'!$H$3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Report'!$G$4:$G$35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Report'!$H$4:$H$35</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0-0001-4820-935B-52218D77442B}"/>
            </c:ext>
          </c:extLst>
        </c:ser>
        <c:dLbls>
          <c:showLegendKey val="0"/>
          <c:showVal val="1"/>
          <c:showCatName val="0"/>
          <c:showSerName val="0"/>
          <c:showPercent val="0"/>
          <c:showBubbleSize val="0"/>
        </c:dLbls>
        <c:dropLines>
          <c:spPr>
            <a:ln w="6350" cap="flat" cmpd="sng" algn="ctr">
              <a:gradFill>
                <a:gsLst>
                  <a:gs pos="0">
                    <a:schemeClr val="lt1"/>
                  </a:gs>
                  <a:gs pos="50000">
                    <a:schemeClr val="lt1">
                      <a:alpha val="0"/>
                    </a:schemeClr>
                  </a:gs>
                </a:gsLst>
                <a:lin ang="5400000" scaled="0"/>
              </a:gradFill>
              <a:round/>
            </a:ln>
            <a:effectLst/>
          </c:spPr>
        </c:dropLines>
        <c:axId val="145192864"/>
        <c:axId val="726577040"/>
      </c:areaChart>
      <c:catAx>
        <c:axId val="14519286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26577040"/>
        <c:crosses val="autoZero"/>
        <c:auto val="1"/>
        <c:lblAlgn val="ctr"/>
        <c:lblOffset val="100"/>
        <c:noMultiLvlLbl val="0"/>
      </c:catAx>
      <c:valAx>
        <c:axId val="726577040"/>
        <c:scaling>
          <c:orientation val="minMax"/>
        </c:scaling>
        <c:delete val="1"/>
        <c:axPos val="l"/>
        <c:numFmt formatCode="0.00" sourceLinked="1"/>
        <c:majorTickMark val="out"/>
        <c:minorTickMark val="none"/>
        <c:tickLblPos val="nextTo"/>
        <c:crossAx val="1451928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[Dashboarf.xlsx]Pivot Report!PivotTable6</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666666666666666E-2"/>
          <c:y val="0"/>
          <c:w val="0.98333333333333328"/>
          <c:h val="0.9907407407407407"/>
        </c:manualLayout>
      </c:layout>
      <c:areaChart>
        <c:grouping val="standard"/>
        <c:varyColors val="0"/>
        <c:ser>
          <c:idx val="0"/>
          <c:order val="0"/>
          <c:tx>
            <c:strRef>
              <c:f>'Pivot Report'!$K$3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Report'!$J$4:$J$35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Report'!$K$4:$K$35</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0-2649-4657-9005-05D4591FCAD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72336176"/>
        <c:axId val="726622160"/>
      </c:areaChart>
      <c:catAx>
        <c:axId val="87233617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26622160"/>
        <c:crosses val="autoZero"/>
        <c:auto val="1"/>
        <c:lblAlgn val="ctr"/>
        <c:lblOffset val="100"/>
        <c:noMultiLvlLbl val="0"/>
      </c:catAx>
      <c:valAx>
        <c:axId val="726622160"/>
        <c:scaling>
          <c:orientation val="minMax"/>
        </c:scaling>
        <c:delete val="1"/>
        <c:axPos val="l"/>
        <c:numFmt formatCode="0.00" sourceLinked="1"/>
        <c:majorTickMark val="out"/>
        <c:minorTickMark val="none"/>
        <c:tickLblPos val="nextTo"/>
        <c:crossAx val="8723361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heet6!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image" Target="../media/image8.emf"/><Relationship Id="rId10" Type="http://schemas.openxmlformats.org/officeDocument/2006/relationships/hyperlink" Target="#Sheet5!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624840</xdr:colOff>
      <xdr:row>43</xdr:row>
      <xdr:rowOff>137160</xdr:rowOff>
    </xdr:from>
    <xdr:to>
      <xdr:col>4</xdr:col>
      <xdr:colOff>7620</xdr:colOff>
      <xdr:row>46</xdr:row>
      <xdr:rowOff>15240</xdr:rowOff>
    </xdr:to>
    <xdr:graphicFrame macro="">
      <xdr:nvGraphicFramePr>
        <xdr:cNvPr id="6" name="Chart 5">
          <a:extLst>
            <a:ext uri="{FF2B5EF4-FFF2-40B4-BE49-F238E27FC236}">
              <a16:creationId xmlns:a16="http://schemas.microsoft.com/office/drawing/2014/main" id="{B9455D41-1733-F1C5-68BA-0A564B19C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41384</xdr:colOff>
      <xdr:row>0</xdr:row>
      <xdr:rowOff>39741</xdr:rowOff>
    </xdr:from>
    <xdr:to>
      <xdr:col>5</xdr:col>
      <xdr:colOff>4564</xdr:colOff>
      <xdr:row>3</xdr:row>
      <xdr:rowOff>34625</xdr:rowOff>
    </xdr:to>
    <xdr:sp macro="" textlink="">
      <xdr:nvSpPr>
        <xdr:cNvPr id="2" name="Rectangle: Rounded Corners 1">
          <a:extLst>
            <a:ext uri="{FF2B5EF4-FFF2-40B4-BE49-F238E27FC236}">
              <a16:creationId xmlns:a16="http://schemas.microsoft.com/office/drawing/2014/main" id="{CD4F9021-6690-96AC-0658-14FA4FCC4A51}"/>
            </a:ext>
          </a:extLst>
        </xdr:cNvPr>
        <xdr:cNvSpPr/>
      </xdr:nvSpPr>
      <xdr:spPr>
        <a:xfrm>
          <a:off x="41384" y="39741"/>
          <a:ext cx="3004777" cy="551976"/>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40000"/>
                <a:lumOff val="60000"/>
              </a:schemeClr>
            </a:solidFill>
          </a:endParaRPr>
        </a:p>
      </xdr:txBody>
    </xdr:sp>
    <xdr:clientData/>
  </xdr:twoCellAnchor>
  <xdr:twoCellAnchor editAs="absolute">
    <xdr:from>
      <xdr:col>5</xdr:col>
      <xdr:colOff>35984</xdr:colOff>
      <xdr:row>0</xdr:row>
      <xdr:rowOff>28575</xdr:rowOff>
    </xdr:from>
    <xdr:to>
      <xdr:col>7</xdr:col>
      <xdr:colOff>40747</xdr:colOff>
      <xdr:row>3</xdr:row>
      <xdr:rowOff>45155</xdr:rowOff>
    </xdr:to>
    <xdr:sp macro="" textlink="">
      <xdr:nvSpPr>
        <xdr:cNvPr id="4" name="Rectangle: Rounded Corners 3">
          <a:extLst>
            <a:ext uri="{FF2B5EF4-FFF2-40B4-BE49-F238E27FC236}">
              <a16:creationId xmlns:a16="http://schemas.microsoft.com/office/drawing/2014/main" id="{2D0B3F5C-5700-3867-BF00-E8F84D97C373}"/>
            </a:ext>
          </a:extLst>
        </xdr:cNvPr>
        <xdr:cNvSpPr/>
      </xdr:nvSpPr>
      <xdr:spPr>
        <a:xfrm>
          <a:off x="3083984" y="28575"/>
          <a:ext cx="1223963" cy="558447"/>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7</xdr:col>
      <xdr:colOff>80081</xdr:colOff>
      <xdr:row>0</xdr:row>
      <xdr:rowOff>29809</xdr:rowOff>
    </xdr:from>
    <xdr:to>
      <xdr:col>9</xdr:col>
      <xdr:colOff>146757</xdr:colOff>
      <xdr:row>6</xdr:row>
      <xdr:rowOff>91722</xdr:rowOff>
    </xdr:to>
    <xdr:sp macro="" textlink="">
      <xdr:nvSpPr>
        <xdr:cNvPr id="9" name="Rectangle: Rounded Corners 8">
          <a:extLst>
            <a:ext uri="{FF2B5EF4-FFF2-40B4-BE49-F238E27FC236}">
              <a16:creationId xmlns:a16="http://schemas.microsoft.com/office/drawing/2014/main" id="{172A8E2C-846A-857D-A4A1-635C9277E492}"/>
            </a:ext>
          </a:extLst>
        </xdr:cNvPr>
        <xdr:cNvSpPr/>
      </xdr:nvSpPr>
      <xdr:spPr>
        <a:xfrm>
          <a:off x="4324339" y="29809"/>
          <a:ext cx="1279321" cy="1143461"/>
        </a:xfrm>
        <a:prstGeom prst="roundRect">
          <a:avLst>
            <a:gd name="adj" fmla="val 9769"/>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0</xdr:col>
      <xdr:colOff>40347</xdr:colOff>
      <xdr:row>3</xdr:row>
      <xdr:rowOff>66975</xdr:rowOff>
    </xdr:from>
    <xdr:to>
      <xdr:col>1</xdr:col>
      <xdr:colOff>108762</xdr:colOff>
      <xdr:row>15</xdr:row>
      <xdr:rowOff>134709</xdr:rowOff>
    </xdr:to>
    <xdr:sp macro="" textlink="">
      <xdr:nvSpPr>
        <xdr:cNvPr id="12" name="Rectangle: Rounded Corners 11">
          <a:extLst>
            <a:ext uri="{FF2B5EF4-FFF2-40B4-BE49-F238E27FC236}">
              <a16:creationId xmlns:a16="http://schemas.microsoft.com/office/drawing/2014/main" id="{93BE5C8B-8380-0619-2D39-889573B08A81}"/>
            </a:ext>
          </a:extLst>
        </xdr:cNvPr>
        <xdr:cNvSpPr/>
      </xdr:nvSpPr>
      <xdr:spPr>
        <a:xfrm>
          <a:off x="40347" y="624067"/>
          <a:ext cx="676734" cy="2296104"/>
        </a:xfrm>
        <a:prstGeom prst="roundRect">
          <a:avLst>
            <a:gd name="adj" fmla="val 9097"/>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1</xdr:col>
      <xdr:colOff>137586</xdr:colOff>
      <xdr:row>3</xdr:row>
      <xdr:rowOff>73730</xdr:rowOff>
    </xdr:from>
    <xdr:to>
      <xdr:col>3</xdr:col>
      <xdr:colOff>73377</xdr:colOff>
      <xdr:row>7</xdr:row>
      <xdr:rowOff>118533</xdr:rowOff>
    </xdr:to>
    <xdr:sp macro="" textlink="">
      <xdr:nvSpPr>
        <xdr:cNvPr id="14" name="Rectangle: Rounded Corners 13">
          <a:extLst>
            <a:ext uri="{FF2B5EF4-FFF2-40B4-BE49-F238E27FC236}">
              <a16:creationId xmlns:a16="http://schemas.microsoft.com/office/drawing/2014/main" id="{3E9DC020-D2B2-A4DD-A597-4EE03334A271}"/>
            </a:ext>
          </a:extLst>
        </xdr:cNvPr>
        <xdr:cNvSpPr/>
      </xdr:nvSpPr>
      <xdr:spPr>
        <a:xfrm>
          <a:off x="745905" y="630822"/>
          <a:ext cx="1152430" cy="787593"/>
        </a:xfrm>
        <a:prstGeom prst="roundRect">
          <a:avLst>
            <a:gd name="adj" fmla="val 8575"/>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9</xdr:col>
      <xdr:colOff>187326</xdr:colOff>
      <xdr:row>0</xdr:row>
      <xdr:rowOff>35454</xdr:rowOff>
    </xdr:from>
    <xdr:to>
      <xdr:col>11</xdr:col>
      <xdr:colOff>254002</xdr:colOff>
      <xdr:row>6</xdr:row>
      <xdr:rowOff>97367</xdr:rowOff>
    </xdr:to>
    <xdr:sp macro="" textlink="">
      <xdr:nvSpPr>
        <xdr:cNvPr id="15" name="Rectangle: Rounded Corners 14">
          <a:extLst>
            <a:ext uri="{FF2B5EF4-FFF2-40B4-BE49-F238E27FC236}">
              <a16:creationId xmlns:a16="http://schemas.microsoft.com/office/drawing/2014/main" id="{78233255-4447-CBD7-3E31-03FEDA2EECE6}"/>
            </a:ext>
          </a:extLst>
        </xdr:cNvPr>
        <xdr:cNvSpPr/>
      </xdr:nvSpPr>
      <xdr:spPr>
        <a:xfrm>
          <a:off x="5644229" y="35454"/>
          <a:ext cx="1279321" cy="1143461"/>
        </a:xfrm>
        <a:prstGeom prst="roundRect">
          <a:avLst>
            <a:gd name="adj" fmla="val 9769"/>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3</xdr:col>
      <xdr:colOff>120652</xdr:colOff>
      <xdr:row>3</xdr:row>
      <xdr:rowOff>79374</xdr:rowOff>
    </xdr:from>
    <xdr:to>
      <xdr:col>5</xdr:col>
      <xdr:colOff>56443</xdr:colOff>
      <xdr:row>7</xdr:row>
      <xdr:rowOff>124177</xdr:rowOff>
    </xdr:to>
    <xdr:sp macro="" textlink="">
      <xdr:nvSpPr>
        <xdr:cNvPr id="22" name="Rectangle: Rounded Corners 21">
          <a:extLst>
            <a:ext uri="{FF2B5EF4-FFF2-40B4-BE49-F238E27FC236}">
              <a16:creationId xmlns:a16="http://schemas.microsoft.com/office/drawing/2014/main" id="{90505A5C-C720-D88E-172E-26C6283F2CFE}"/>
            </a:ext>
          </a:extLst>
        </xdr:cNvPr>
        <xdr:cNvSpPr/>
      </xdr:nvSpPr>
      <xdr:spPr>
        <a:xfrm>
          <a:off x="1949452" y="621241"/>
          <a:ext cx="1154991" cy="767292"/>
        </a:xfrm>
        <a:prstGeom prst="roundRect">
          <a:avLst>
            <a:gd name="adj" fmla="val 9311"/>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5</xdr:col>
      <xdr:colOff>109364</xdr:colOff>
      <xdr:row>3</xdr:row>
      <xdr:rowOff>73730</xdr:rowOff>
    </xdr:from>
    <xdr:to>
      <xdr:col>7</xdr:col>
      <xdr:colOff>45155</xdr:colOff>
      <xdr:row>7</xdr:row>
      <xdr:rowOff>118533</xdr:rowOff>
    </xdr:to>
    <xdr:sp macro="" textlink="">
      <xdr:nvSpPr>
        <xdr:cNvPr id="23" name="Rectangle: Rounded Corners 22">
          <a:extLst>
            <a:ext uri="{FF2B5EF4-FFF2-40B4-BE49-F238E27FC236}">
              <a16:creationId xmlns:a16="http://schemas.microsoft.com/office/drawing/2014/main" id="{E321985E-1681-5A66-BE51-F07F5A564415}"/>
            </a:ext>
          </a:extLst>
        </xdr:cNvPr>
        <xdr:cNvSpPr/>
      </xdr:nvSpPr>
      <xdr:spPr>
        <a:xfrm>
          <a:off x="3157364" y="615597"/>
          <a:ext cx="1154991" cy="767292"/>
        </a:xfrm>
        <a:prstGeom prst="roundRect">
          <a:avLst>
            <a:gd name="adj" fmla="val 9311"/>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1</xdr:col>
      <xdr:colOff>141466</xdr:colOff>
      <xdr:row>7</xdr:row>
      <xdr:rowOff>168805</xdr:rowOff>
    </xdr:from>
    <xdr:to>
      <xdr:col>7</xdr:col>
      <xdr:colOff>50800</xdr:colOff>
      <xdr:row>10</xdr:row>
      <xdr:rowOff>62090</xdr:rowOff>
    </xdr:to>
    <xdr:sp macro="" textlink="">
      <xdr:nvSpPr>
        <xdr:cNvPr id="24" name="Rectangle: Rounded Corners 23">
          <a:extLst>
            <a:ext uri="{FF2B5EF4-FFF2-40B4-BE49-F238E27FC236}">
              <a16:creationId xmlns:a16="http://schemas.microsoft.com/office/drawing/2014/main" id="{11ADF77C-8FC7-CC8F-67EB-829761B62023}"/>
            </a:ext>
          </a:extLst>
        </xdr:cNvPr>
        <xdr:cNvSpPr/>
      </xdr:nvSpPr>
      <xdr:spPr>
        <a:xfrm>
          <a:off x="751066" y="1433161"/>
          <a:ext cx="3566934" cy="435151"/>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1</xdr:col>
      <xdr:colOff>137586</xdr:colOff>
      <xdr:row>10</xdr:row>
      <xdr:rowOff>107245</xdr:rowOff>
    </xdr:from>
    <xdr:to>
      <xdr:col>7</xdr:col>
      <xdr:colOff>67733</xdr:colOff>
      <xdr:row>15</xdr:row>
      <xdr:rowOff>135467</xdr:rowOff>
    </xdr:to>
    <xdr:sp macro="" textlink="">
      <xdr:nvSpPr>
        <xdr:cNvPr id="25" name="Rectangle: Rounded Corners 24">
          <a:extLst>
            <a:ext uri="{FF2B5EF4-FFF2-40B4-BE49-F238E27FC236}">
              <a16:creationId xmlns:a16="http://schemas.microsoft.com/office/drawing/2014/main" id="{C1DE37DC-DEFB-8B88-761F-BC81337F93A9}"/>
            </a:ext>
          </a:extLst>
        </xdr:cNvPr>
        <xdr:cNvSpPr/>
      </xdr:nvSpPr>
      <xdr:spPr>
        <a:xfrm>
          <a:off x="744894" y="1940628"/>
          <a:ext cx="3573997" cy="944914"/>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7</xdr:col>
      <xdr:colOff>113947</xdr:colOff>
      <xdr:row>6</xdr:row>
      <xdr:rowOff>142698</xdr:rowOff>
    </xdr:from>
    <xdr:to>
      <xdr:col>11</xdr:col>
      <xdr:colOff>265289</xdr:colOff>
      <xdr:row>15</xdr:row>
      <xdr:rowOff>129822</xdr:rowOff>
    </xdr:to>
    <xdr:sp macro="" textlink="">
      <xdr:nvSpPr>
        <xdr:cNvPr id="26" name="Rectangle: Rounded Corners 25">
          <a:extLst>
            <a:ext uri="{FF2B5EF4-FFF2-40B4-BE49-F238E27FC236}">
              <a16:creationId xmlns:a16="http://schemas.microsoft.com/office/drawing/2014/main" id="{BEE87FA7-AAF3-13FE-3704-1C04FAC146D4}"/>
            </a:ext>
          </a:extLst>
        </xdr:cNvPr>
        <xdr:cNvSpPr/>
      </xdr:nvSpPr>
      <xdr:spPr>
        <a:xfrm>
          <a:off x="4365105" y="1242728"/>
          <a:ext cx="2580575" cy="1637169"/>
        </a:xfrm>
        <a:prstGeom prst="roundRect">
          <a:avLst>
            <a:gd name="adj" fmla="val 4169"/>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0</xdr:col>
      <xdr:colOff>489132</xdr:colOff>
      <xdr:row>0</xdr:row>
      <xdr:rowOff>76498</xdr:rowOff>
    </xdr:from>
    <xdr:to>
      <xdr:col>5</xdr:col>
      <xdr:colOff>105309</xdr:colOff>
      <xdr:row>1</xdr:row>
      <xdr:rowOff>144232</xdr:rowOff>
    </xdr:to>
    <xdr:sp macro="" textlink="">
      <xdr:nvSpPr>
        <xdr:cNvPr id="27" name="TextBox 26">
          <a:extLst>
            <a:ext uri="{FF2B5EF4-FFF2-40B4-BE49-F238E27FC236}">
              <a16:creationId xmlns:a16="http://schemas.microsoft.com/office/drawing/2014/main" id="{6C7C1728-F643-167E-451F-47B1561D01EC}"/>
            </a:ext>
          </a:extLst>
        </xdr:cNvPr>
        <xdr:cNvSpPr txBox="1"/>
      </xdr:nvSpPr>
      <xdr:spPr>
        <a:xfrm>
          <a:off x="489132" y="76498"/>
          <a:ext cx="2652718" cy="251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a:solidFill>
                <a:schemeClr val="tx1"/>
              </a:solidFill>
            </a:rPr>
            <a:t>Hospital Emergency Room Dashboard</a:t>
          </a:r>
        </a:p>
      </xdr:txBody>
    </xdr:sp>
    <xdr:clientData/>
  </xdr:twoCellAnchor>
  <xdr:twoCellAnchor editAs="oneCell">
    <xdr:from>
      <xdr:col>0</xdr:col>
      <xdr:colOff>82400</xdr:colOff>
      <xdr:row>0</xdr:row>
      <xdr:rowOff>87545</xdr:rowOff>
    </xdr:from>
    <xdr:to>
      <xdr:col>1</xdr:col>
      <xdr:colOff>36749</xdr:colOff>
      <xdr:row>3</xdr:row>
      <xdr:rowOff>29321</xdr:rowOff>
    </xdr:to>
    <xdr:pic>
      <xdr:nvPicPr>
        <xdr:cNvPr id="29" name="Picture 28">
          <a:extLst>
            <a:ext uri="{FF2B5EF4-FFF2-40B4-BE49-F238E27FC236}">
              <a16:creationId xmlns:a16="http://schemas.microsoft.com/office/drawing/2014/main" id="{37EF941A-DE35-079B-74C4-565C319775E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545" t="12421" r="20732" b="11190"/>
        <a:stretch>
          <a:fillRect/>
        </a:stretch>
      </xdr:blipFill>
      <xdr:spPr>
        <a:xfrm>
          <a:off x="82400" y="87545"/>
          <a:ext cx="561657" cy="491791"/>
        </a:xfrm>
        <a:prstGeom prst="rect">
          <a:avLst/>
        </a:prstGeom>
      </xdr:spPr>
    </xdr:pic>
    <xdr:clientData/>
  </xdr:twoCellAnchor>
  <xdr:twoCellAnchor editAs="absolute">
    <xdr:from>
      <xdr:col>0</xdr:col>
      <xdr:colOff>581358</xdr:colOff>
      <xdr:row>4</xdr:row>
      <xdr:rowOff>180637</xdr:rowOff>
    </xdr:from>
    <xdr:to>
      <xdr:col>3</xdr:col>
      <xdr:colOff>177609</xdr:colOff>
      <xdr:row>6</xdr:row>
      <xdr:rowOff>45836</xdr:rowOff>
    </xdr:to>
    <xdr:sp macro="" textlink="">
      <xdr:nvSpPr>
        <xdr:cNvPr id="30" name="TextBox 29">
          <a:extLst>
            <a:ext uri="{FF2B5EF4-FFF2-40B4-BE49-F238E27FC236}">
              <a16:creationId xmlns:a16="http://schemas.microsoft.com/office/drawing/2014/main" id="{B8DC563A-26AB-A3D2-3000-9A2F46602E39}"/>
            </a:ext>
          </a:extLst>
        </xdr:cNvPr>
        <xdr:cNvSpPr txBox="1"/>
      </xdr:nvSpPr>
      <xdr:spPr>
        <a:xfrm>
          <a:off x="581358" y="913990"/>
          <a:ext cx="1418176" cy="231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aseline="0">
              <a:solidFill>
                <a:schemeClr val="tx1"/>
              </a:solidFill>
            </a:rPr>
            <a:t>No. Of Patients</a:t>
          </a:r>
          <a:endParaRPr lang="en-IN" sz="1000">
            <a:solidFill>
              <a:schemeClr val="tx1"/>
            </a:solidFill>
          </a:endParaRPr>
        </a:p>
      </xdr:txBody>
    </xdr:sp>
    <xdr:clientData/>
  </xdr:twoCellAnchor>
  <xdr:twoCellAnchor editAs="absolute">
    <xdr:from>
      <xdr:col>3</xdr:col>
      <xdr:colOff>121664</xdr:colOff>
      <xdr:row>4</xdr:row>
      <xdr:rowOff>134802</xdr:rowOff>
    </xdr:from>
    <xdr:to>
      <xdr:col>5</xdr:col>
      <xdr:colOff>57630</xdr:colOff>
      <xdr:row>6</xdr:row>
      <xdr:rowOff>1</xdr:rowOff>
    </xdr:to>
    <xdr:sp macro="" textlink="">
      <xdr:nvSpPr>
        <xdr:cNvPr id="31" name="TextBox 30">
          <a:extLst>
            <a:ext uri="{FF2B5EF4-FFF2-40B4-BE49-F238E27FC236}">
              <a16:creationId xmlns:a16="http://schemas.microsoft.com/office/drawing/2014/main" id="{06BA67B9-0EC9-C3CD-0EDE-0F1E156C0E21}"/>
            </a:ext>
          </a:extLst>
        </xdr:cNvPr>
        <xdr:cNvSpPr txBox="1"/>
      </xdr:nvSpPr>
      <xdr:spPr>
        <a:xfrm>
          <a:off x="1946622" y="877592"/>
          <a:ext cx="1152605" cy="236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aseline="0">
              <a:solidFill>
                <a:schemeClr val="tx1"/>
              </a:solidFill>
            </a:rPr>
            <a:t>Average Wait Time</a:t>
          </a:r>
          <a:endParaRPr lang="en-IN" sz="1100">
            <a:solidFill>
              <a:schemeClr val="tx1"/>
            </a:solidFill>
          </a:endParaRPr>
        </a:p>
      </xdr:txBody>
    </xdr:sp>
    <xdr:clientData/>
  </xdr:twoCellAnchor>
  <xdr:twoCellAnchor editAs="absolute">
    <xdr:from>
      <xdr:col>5</xdr:col>
      <xdr:colOff>108857</xdr:colOff>
      <xdr:row>4</xdr:row>
      <xdr:rowOff>134802</xdr:rowOff>
    </xdr:from>
    <xdr:to>
      <xdr:col>7</xdr:col>
      <xdr:colOff>44824</xdr:colOff>
      <xdr:row>6</xdr:row>
      <xdr:rowOff>1</xdr:rowOff>
    </xdr:to>
    <xdr:sp macro="" textlink="">
      <xdr:nvSpPr>
        <xdr:cNvPr id="32" name="TextBox 31">
          <a:extLst>
            <a:ext uri="{FF2B5EF4-FFF2-40B4-BE49-F238E27FC236}">
              <a16:creationId xmlns:a16="http://schemas.microsoft.com/office/drawing/2014/main" id="{A9AB41BE-E1FB-9B17-F3FE-090B59EFD588}"/>
            </a:ext>
          </a:extLst>
        </xdr:cNvPr>
        <xdr:cNvSpPr txBox="1"/>
      </xdr:nvSpPr>
      <xdr:spPr>
        <a:xfrm>
          <a:off x="3150454" y="877592"/>
          <a:ext cx="1152605" cy="236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a:solidFill>
                <a:schemeClr val="tx1"/>
              </a:solidFill>
            </a:rPr>
            <a:t>Satisfaction</a:t>
          </a:r>
          <a:r>
            <a:rPr lang="en-IN" sz="1100" baseline="0">
              <a:solidFill>
                <a:schemeClr val="tx1"/>
              </a:solidFill>
            </a:rPr>
            <a:t> Score</a:t>
          </a:r>
        </a:p>
      </xdr:txBody>
    </xdr:sp>
    <xdr:clientData/>
  </xdr:twoCellAnchor>
  <xdr:twoCellAnchor editAs="absolute">
    <xdr:from>
      <xdr:col>1</xdr:col>
      <xdr:colOff>134471</xdr:colOff>
      <xdr:row>3</xdr:row>
      <xdr:rowOff>128399</xdr:rowOff>
    </xdr:from>
    <xdr:to>
      <xdr:col>3</xdr:col>
      <xdr:colOff>70437</xdr:colOff>
      <xdr:row>4</xdr:row>
      <xdr:rowOff>179295</xdr:rowOff>
    </xdr:to>
    <xdr:sp macro="" textlink="'Pivot Report'!A4">
      <xdr:nvSpPr>
        <xdr:cNvPr id="33" name="TextBox 32">
          <a:extLst>
            <a:ext uri="{FF2B5EF4-FFF2-40B4-BE49-F238E27FC236}">
              <a16:creationId xmlns:a16="http://schemas.microsoft.com/office/drawing/2014/main" id="{19826272-B981-5D1A-69FD-73D1AA43C7DC}"/>
            </a:ext>
          </a:extLst>
        </xdr:cNvPr>
        <xdr:cNvSpPr txBox="1"/>
      </xdr:nvSpPr>
      <xdr:spPr>
        <a:xfrm>
          <a:off x="742790" y="685491"/>
          <a:ext cx="1152605" cy="236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D0C62E6-1A23-4989-8933-F65B6A23C1DB}" type="TxLink">
            <a:rPr lang="en-US" sz="1100" b="0" i="0" u="none" strike="noStrike">
              <a:solidFill>
                <a:srgbClr val="000000"/>
              </a:solidFill>
              <a:latin typeface="Aptos Narrow"/>
            </a:rPr>
            <a:pPr algn="ctr"/>
            <a:t>488</a:t>
          </a:fld>
          <a:endParaRPr lang="en-US" sz="1100"/>
        </a:p>
      </xdr:txBody>
    </xdr:sp>
    <xdr:clientData/>
  </xdr:twoCellAnchor>
  <xdr:twoCellAnchor editAs="absolute">
    <xdr:from>
      <xdr:col>3</xdr:col>
      <xdr:colOff>121664</xdr:colOff>
      <xdr:row>3</xdr:row>
      <xdr:rowOff>128399</xdr:rowOff>
    </xdr:from>
    <xdr:to>
      <xdr:col>5</xdr:col>
      <xdr:colOff>57630</xdr:colOff>
      <xdr:row>4</xdr:row>
      <xdr:rowOff>179295</xdr:rowOff>
    </xdr:to>
    <xdr:sp macro="" textlink="'Pivot Report'!A7">
      <xdr:nvSpPr>
        <xdr:cNvPr id="38" name="TextBox 37">
          <a:extLst>
            <a:ext uri="{FF2B5EF4-FFF2-40B4-BE49-F238E27FC236}">
              <a16:creationId xmlns:a16="http://schemas.microsoft.com/office/drawing/2014/main" id="{2EDB6D38-08DA-A728-FBD9-FC7768FBBBFB}"/>
            </a:ext>
          </a:extLst>
        </xdr:cNvPr>
        <xdr:cNvSpPr txBox="1"/>
      </xdr:nvSpPr>
      <xdr:spPr>
        <a:xfrm>
          <a:off x="1946622" y="685491"/>
          <a:ext cx="1152605" cy="236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CC6FF09-20B2-4AB1-AEE5-5DC4E87D3CB3}" type="TxLink">
            <a:rPr lang="en-US" sz="1100" b="0" i="0" u="none" strike="noStrike">
              <a:solidFill>
                <a:srgbClr val="000000"/>
              </a:solidFill>
              <a:latin typeface="Aptos Narrow"/>
            </a:rPr>
            <a:pPr algn="ctr"/>
            <a:t>35.20</a:t>
          </a:fld>
          <a:endParaRPr lang="en-US" sz="1100"/>
        </a:p>
      </xdr:txBody>
    </xdr:sp>
    <xdr:clientData/>
  </xdr:twoCellAnchor>
  <xdr:twoCellAnchor editAs="absolute">
    <xdr:from>
      <xdr:col>5</xdr:col>
      <xdr:colOff>108857</xdr:colOff>
      <xdr:row>3</xdr:row>
      <xdr:rowOff>128399</xdr:rowOff>
    </xdr:from>
    <xdr:to>
      <xdr:col>7</xdr:col>
      <xdr:colOff>44824</xdr:colOff>
      <xdr:row>4</xdr:row>
      <xdr:rowOff>179295</xdr:rowOff>
    </xdr:to>
    <xdr:sp macro="" textlink="'Pivot Report'!A10">
      <xdr:nvSpPr>
        <xdr:cNvPr id="39" name="TextBox 38">
          <a:extLst>
            <a:ext uri="{FF2B5EF4-FFF2-40B4-BE49-F238E27FC236}">
              <a16:creationId xmlns:a16="http://schemas.microsoft.com/office/drawing/2014/main" id="{4782E4B5-B1C7-188A-D3E8-B7D5A75C6A33}"/>
            </a:ext>
          </a:extLst>
        </xdr:cNvPr>
        <xdr:cNvSpPr txBox="1"/>
      </xdr:nvSpPr>
      <xdr:spPr>
        <a:xfrm>
          <a:off x="3150454" y="685491"/>
          <a:ext cx="1152605" cy="236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A4EE7AF-A786-430A-923F-3EDFCD151015}" type="TxLink">
            <a:rPr lang="en-US" sz="1100" b="0" i="0" u="none" strike="noStrike">
              <a:solidFill>
                <a:srgbClr val="000000"/>
              </a:solidFill>
              <a:latin typeface="Aptos Narrow"/>
            </a:rPr>
            <a:pPr algn="ctr"/>
            <a:t>4.79</a:t>
          </a:fld>
          <a:endParaRPr lang="en-US" sz="1100"/>
        </a:p>
      </xdr:txBody>
    </xdr:sp>
    <xdr:clientData/>
  </xdr:twoCellAnchor>
  <xdr:twoCellAnchor editAs="oneCell">
    <xdr:from>
      <xdr:col>2</xdr:col>
      <xdr:colOff>397009</xdr:colOff>
      <xdr:row>3</xdr:row>
      <xdr:rowOff>70438</xdr:rowOff>
    </xdr:from>
    <xdr:to>
      <xdr:col>3</xdr:col>
      <xdr:colOff>76841</xdr:colOff>
      <xdr:row>4</xdr:row>
      <xdr:rowOff>172891</xdr:rowOff>
    </xdr:to>
    <xdr:pic>
      <xdr:nvPicPr>
        <xdr:cNvPr id="50" name="Graphic 49" descr="User with solid fill">
          <a:extLst>
            <a:ext uri="{FF2B5EF4-FFF2-40B4-BE49-F238E27FC236}">
              <a16:creationId xmlns:a16="http://schemas.microsoft.com/office/drawing/2014/main" id="{32BABC67-C80A-9737-73DA-CE3CC4579A5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13648" y="627530"/>
          <a:ext cx="288151" cy="288151"/>
        </a:xfrm>
        <a:prstGeom prst="rect">
          <a:avLst/>
        </a:prstGeom>
      </xdr:spPr>
    </xdr:pic>
    <xdr:clientData/>
  </xdr:twoCellAnchor>
  <xdr:twoCellAnchor editAs="oneCell">
    <xdr:from>
      <xdr:col>6</xdr:col>
      <xdr:colOff>377799</xdr:colOff>
      <xdr:row>3</xdr:row>
      <xdr:rowOff>89648</xdr:rowOff>
    </xdr:from>
    <xdr:to>
      <xdr:col>7</xdr:col>
      <xdr:colOff>38421</xdr:colOff>
      <xdr:row>4</xdr:row>
      <xdr:rowOff>172891</xdr:rowOff>
    </xdr:to>
    <xdr:pic>
      <xdr:nvPicPr>
        <xdr:cNvPr id="52" name="Graphic 51" descr="Customer review with solid fill">
          <a:extLst>
            <a:ext uri="{FF2B5EF4-FFF2-40B4-BE49-F238E27FC236}">
              <a16:creationId xmlns:a16="http://schemas.microsoft.com/office/drawing/2014/main" id="{268E8E07-5DF2-0EC1-FDED-E8A39FCFB69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027715" y="646740"/>
          <a:ext cx="268941" cy="268941"/>
        </a:xfrm>
        <a:prstGeom prst="rect">
          <a:avLst/>
        </a:prstGeom>
      </xdr:spPr>
    </xdr:pic>
    <xdr:clientData/>
  </xdr:twoCellAnchor>
  <xdr:twoCellAnchor editAs="oneCell">
    <xdr:from>
      <xdr:col>4</xdr:col>
      <xdr:colOff>435429</xdr:colOff>
      <xdr:row>3</xdr:row>
      <xdr:rowOff>102455</xdr:rowOff>
    </xdr:from>
    <xdr:to>
      <xdr:col>5</xdr:col>
      <xdr:colOff>57630</xdr:colOff>
      <xdr:row>4</xdr:row>
      <xdr:rowOff>147278</xdr:rowOff>
    </xdr:to>
    <xdr:pic>
      <xdr:nvPicPr>
        <xdr:cNvPr id="54" name="Graphic 53" descr="Hourglass Finished with solid fill">
          <a:extLst>
            <a:ext uri="{FF2B5EF4-FFF2-40B4-BE49-F238E27FC236}">
              <a16:creationId xmlns:a16="http://schemas.microsoft.com/office/drawing/2014/main" id="{7A8AEBDB-8187-8D44-01E2-04F0771CDC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68706" y="659547"/>
          <a:ext cx="230521" cy="230521"/>
        </a:xfrm>
        <a:prstGeom prst="rect">
          <a:avLst/>
        </a:prstGeom>
      </xdr:spPr>
    </xdr:pic>
    <xdr:clientData/>
  </xdr:twoCellAnchor>
  <xdr:twoCellAnchor editAs="oneCell">
    <xdr:from>
      <xdr:col>0</xdr:col>
      <xdr:colOff>96051</xdr:colOff>
      <xdr:row>3</xdr:row>
      <xdr:rowOff>89648</xdr:rowOff>
    </xdr:from>
    <xdr:to>
      <xdr:col>1</xdr:col>
      <xdr:colOff>64034</xdr:colOff>
      <xdr:row>15</xdr:row>
      <xdr:rowOff>128068</xdr:rowOff>
    </xdr:to>
    <mc:AlternateContent xmlns:mc="http://schemas.openxmlformats.org/markup-compatibility/2006" xmlns:a14="http://schemas.microsoft.com/office/drawing/2010/main">
      <mc:Choice Requires="a14">
        <xdr:graphicFrame macro="">
          <xdr:nvGraphicFramePr>
            <xdr:cNvPr id="55" name="Date (Month)">
              <a:extLst>
                <a:ext uri="{FF2B5EF4-FFF2-40B4-BE49-F238E27FC236}">
                  <a16:creationId xmlns:a16="http://schemas.microsoft.com/office/drawing/2014/main" id="{814BCD77-CEE0-4C62-89E5-109D5BAF60C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6051" y="644240"/>
              <a:ext cx="576681" cy="2256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128067</xdr:colOff>
      <xdr:row>5</xdr:row>
      <xdr:rowOff>166486</xdr:rowOff>
    </xdr:from>
    <xdr:to>
      <xdr:col>3</xdr:col>
      <xdr:colOff>96049</xdr:colOff>
      <xdr:row>7</xdr:row>
      <xdr:rowOff>147278</xdr:rowOff>
    </xdr:to>
    <xdr:graphicFrame macro="">
      <xdr:nvGraphicFramePr>
        <xdr:cNvPr id="56" name="Chart 55">
          <a:hlinkClick xmlns:r="http://schemas.openxmlformats.org/officeDocument/2006/relationships" r:id="rId8"/>
          <a:extLst>
            <a:ext uri="{FF2B5EF4-FFF2-40B4-BE49-F238E27FC236}">
              <a16:creationId xmlns:a16="http://schemas.microsoft.com/office/drawing/2014/main" id="{175FF30B-31EE-4846-AFEA-BE6C16DFB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121664</xdr:colOff>
      <xdr:row>5</xdr:row>
      <xdr:rowOff>147277</xdr:rowOff>
    </xdr:from>
    <xdr:to>
      <xdr:col>5</xdr:col>
      <xdr:colOff>64033</xdr:colOff>
      <xdr:row>7</xdr:row>
      <xdr:rowOff>121665</xdr:rowOff>
    </xdr:to>
    <xdr:graphicFrame macro="">
      <xdr:nvGraphicFramePr>
        <xdr:cNvPr id="57" name="Chart 56">
          <a:hlinkClick xmlns:r="http://schemas.openxmlformats.org/officeDocument/2006/relationships" r:id="rId10"/>
          <a:extLst>
            <a:ext uri="{FF2B5EF4-FFF2-40B4-BE49-F238E27FC236}">
              <a16:creationId xmlns:a16="http://schemas.microsoft.com/office/drawing/2014/main" id="{044A03E1-9CAE-474A-BC18-5D95B1A3F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84667</xdr:colOff>
      <xdr:row>5</xdr:row>
      <xdr:rowOff>114300</xdr:rowOff>
    </xdr:from>
    <xdr:to>
      <xdr:col>7</xdr:col>
      <xdr:colOff>46182</xdr:colOff>
      <xdr:row>7</xdr:row>
      <xdr:rowOff>126229</xdr:rowOff>
    </xdr:to>
    <xdr:graphicFrame macro="">
      <xdr:nvGraphicFramePr>
        <xdr:cNvPr id="58" name="Chart 57">
          <a:hlinkClick xmlns:r="http://schemas.openxmlformats.org/officeDocument/2006/relationships" r:id="rId12"/>
          <a:extLst>
            <a:ext uri="{FF2B5EF4-FFF2-40B4-BE49-F238E27FC236}">
              <a16:creationId xmlns:a16="http://schemas.microsoft.com/office/drawing/2014/main" id="{8AF3119A-1A31-4E20-B26C-F6711835E3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148962</xdr:colOff>
      <xdr:row>6</xdr:row>
      <xdr:rowOff>91670</xdr:rowOff>
    </xdr:from>
    <xdr:to>
      <xdr:col>7</xdr:col>
      <xdr:colOff>74481</xdr:colOff>
      <xdr:row>15</xdr:row>
      <xdr:rowOff>142087</xdr:rowOff>
    </xdr:to>
    <xdr:graphicFrame macro="">
      <xdr:nvGraphicFramePr>
        <xdr:cNvPr id="67" name="Chart 66">
          <a:extLst>
            <a:ext uri="{FF2B5EF4-FFF2-40B4-BE49-F238E27FC236}">
              <a16:creationId xmlns:a16="http://schemas.microsoft.com/office/drawing/2014/main" id="{64E92B3F-A76B-4A17-8CCE-6BF0C8063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131775</xdr:colOff>
          <xdr:row>7</xdr:row>
          <xdr:rowOff>166151</xdr:rowOff>
        </xdr:from>
        <xdr:to>
          <xdr:col>7</xdr:col>
          <xdr:colOff>45835</xdr:colOff>
          <xdr:row>10</xdr:row>
          <xdr:rowOff>80211</xdr:rowOff>
        </xdr:to>
        <xdr:pic>
          <xdr:nvPicPr>
            <xdr:cNvPr id="70" name="Picture 69">
              <a:extLst>
                <a:ext uri="{FF2B5EF4-FFF2-40B4-BE49-F238E27FC236}">
                  <a16:creationId xmlns:a16="http://schemas.microsoft.com/office/drawing/2014/main" id="{D8D3E6D9-2E0C-E6B3-8A91-E6263C4CD5DE}"/>
                </a:ext>
              </a:extLst>
            </xdr:cNvPr>
            <xdr:cNvPicPr>
              <a:picLocks noChangeAspect="1" noChangeArrowheads="1"/>
              <a:extLst>
                <a:ext uri="{84589F7E-364E-4C9E-8A38-B11213B215E9}">
                  <a14:cameraTool cellRange="'Pivot Report'!$A$44:$D$46" spid="_x0000_s3099"/>
                </a:ext>
              </a:extLst>
            </xdr:cNvPicPr>
          </xdr:nvPicPr>
          <xdr:blipFill>
            <a:blip xmlns:r="http://schemas.openxmlformats.org/officeDocument/2006/relationships" r:embed="rId15"/>
            <a:srcRect/>
            <a:stretch>
              <a:fillRect/>
            </a:stretch>
          </xdr:blipFill>
          <xdr:spPr bwMode="auto">
            <a:xfrm>
              <a:off x="739083" y="1449519"/>
              <a:ext cx="3557910" cy="4640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1</xdr:col>
      <xdr:colOff>409479</xdr:colOff>
      <xdr:row>1</xdr:row>
      <xdr:rowOff>100427</xdr:rowOff>
    </xdr:from>
    <xdr:to>
      <xdr:col>4</xdr:col>
      <xdr:colOff>5730</xdr:colOff>
      <xdr:row>2</xdr:row>
      <xdr:rowOff>148964</xdr:rowOff>
    </xdr:to>
    <xdr:sp macro="" textlink="">
      <xdr:nvSpPr>
        <xdr:cNvPr id="71" name="TextBox 70">
          <a:extLst>
            <a:ext uri="{FF2B5EF4-FFF2-40B4-BE49-F238E27FC236}">
              <a16:creationId xmlns:a16="http://schemas.microsoft.com/office/drawing/2014/main" id="{95823606-D9D2-49D6-1122-068901F94A3B}"/>
            </a:ext>
          </a:extLst>
        </xdr:cNvPr>
        <xdr:cNvSpPr txBox="1"/>
      </xdr:nvSpPr>
      <xdr:spPr>
        <a:xfrm>
          <a:off x="1016787" y="283765"/>
          <a:ext cx="1418176" cy="231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aseline="0">
              <a:solidFill>
                <a:schemeClr val="tx1"/>
              </a:solidFill>
            </a:rPr>
            <a:t>Monthly Report</a:t>
          </a:r>
          <a:endParaRPr lang="en-IN" sz="1000">
            <a:solidFill>
              <a:schemeClr val="tx1"/>
            </a:solidFill>
          </a:endParaRPr>
        </a:p>
      </xdr:txBody>
    </xdr:sp>
    <xdr:clientData/>
  </xdr:twoCellAnchor>
  <xdr:twoCellAnchor editAs="absolute">
    <xdr:from>
      <xdr:col>1</xdr:col>
      <xdr:colOff>572933</xdr:colOff>
      <xdr:row>14</xdr:row>
      <xdr:rowOff>129072</xdr:rowOff>
    </xdr:from>
    <xdr:to>
      <xdr:col>6</xdr:col>
      <xdr:colOff>166150</xdr:colOff>
      <xdr:row>15</xdr:row>
      <xdr:rowOff>177610</xdr:rowOff>
    </xdr:to>
    <xdr:sp macro="" textlink="">
      <xdr:nvSpPr>
        <xdr:cNvPr id="74" name="TextBox 73">
          <a:extLst>
            <a:ext uri="{FF2B5EF4-FFF2-40B4-BE49-F238E27FC236}">
              <a16:creationId xmlns:a16="http://schemas.microsoft.com/office/drawing/2014/main" id="{C53F5FF3-FE9F-C856-F2B1-69C3CE722BFB}"/>
            </a:ext>
          </a:extLst>
        </xdr:cNvPr>
        <xdr:cNvSpPr txBox="1"/>
      </xdr:nvSpPr>
      <xdr:spPr>
        <a:xfrm>
          <a:off x="1180241" y="2695809"/>
          <a:ext cx="2629759" cy="231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solidFill>
                <a:schemeClr val="tx1"/>
              </a:solidFill>
            </a:rPr>
            <a:t>No. Of Patients By Age Group</a:t>
          </a:r>
          <a:endParaRPr lang="en-IN" sz="800">
            <a:solidFill>
              <a:schemeClr val="tx1"/>
            </a:solidFill>
          </a:endParaRPr>
        </a:p>
      </xdr:txBody>
    </xdr:sp>
    <xdr:clientData/>
  </xdr:twoCellAnchor>
  <xdr:twoCellAnchor>
    <xdr:from>
      <xdr:col>7</xdr:col>
      <xdr:colOff>153909</xdr:colOff>
      <xdr:row>0</xdr:row>
      <xdr:rowOff>0</xdr:rowOff>
    </xdr:from>
    <xdr:to>
      <xdr:col>9</xdr:col>
      <xdr:colOff>276813</xdr:colOff>
      <xdr:row>5</xdr:row>
      <xdr:rowOff>167887</xdr:rowOff>
    </xdr:to>
    <xdr:graphicFrame macro="">
      <xdr:nvGraphicFramePr>
        <xdr:cNvPr id="76" name="Chart 75">
          <a:extLst>
            <a:ext uri="{FF2B5EF4-FFF2-40B4-BE49-F238E27FC236}">
              <a16:creationId xmlns:a16="http://schemas.microsoft.com/office/drawing/2014/main" id="{10A37242-0059-46B7-B963-C472E38B7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102870</xdr:colOff>
      <xdr:row>14</xdr:row>
      <xdr:rowOff>84087</xdr:rowOff>
    </xdr:from>
    <xdr:to>
      <xdr:col>11</xdr:col>
      <xdr:colOff>262889</xdr:colOff>
      <xdr:row>15</xdr:row>
      <xdr:rowOff>132624</xdr:rowOff>
    </xdr:to>
    <xdr:sp macro="" textlink="">
      <xdr:nvSpPr>
        <xdr:cNvPr id="79" name="TextBox 78">
          <a:extLst>
            <a:ext uri="{FF2B5EF4-FFF2-40B4-BE49-F238E27FC236}">
              <a16:creationId xmlns:a16="http://schemas.microsoft.com/office/drawing/2014/main" id="{F9B8509F-BCA2-4687-981E-4461194EC2FF}"/>
            </a:ext>
          </a:extLst>
        </xdr:cNvPr>
        <xdr:cNvSpPr txBox="1"/>
      </xdr:nvSpPr>
      <xdr:spPr>
        <a:xfrm>
          <a:off x="4370070" y="2644407"/>
          <a:ext cx="2598419" cy="231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solidFill>
                <a:schemeClr val="tx1"/>
              </a:solidFill>
            </a:rPr>
            <a:t>No.</a:t>
          </a:r>
          <a:r>
            <a:rPr lang="en-IN" sz="800" baseline="0">
              <a:solidFill>
                <a:schemeClr val="tx1"/>
              </a:solidFill>
            </a:rPr>
            <a:t> Of Patients By Department Referal</a:t>
          </a:r>
          <a:endParaRPr lang="en-IN" sz="800">
            <a:solidFill>
              <a:schemeClr val="tx1"/>
            </a:solidFill>
          </a:endParaRPr>
        </a:p>
      </xdr:txBody>
    </xdr:sp>
    <xdr:clientData/>
  </xdr:twoCellAnchor>
  <xdr:twoCellAnchor>
    <xdr:from>
      <xdr:col>9</xdr:col>
      <xdr:colOff>94628</xdr:colOff>
      <xdr:row>0</xdr:row>
      <xdr:rowOff>4981</xdr:rowOff>
    </xdr:from>
    <xdr:to>
      <xdr:col>11</xdr:col>
      <xdr:colOff>298824</xdr:colOff>
      <xdr:row>7</xdr:row>
      <xdr:rowOff>54784</xdr:rowOff>
    </xdr:to>
    <xdr:graphicFrame macro="">
      <xdr:nvGraphicFramePr>
        <xdr:cNvPr id="80" name="Chart 79">
          <a:extLst>
            <a:ext uri="{FF2B5EF4-FFF2-40B4-BE49-F238E27FC236}">
              <a16:creationId xmlns:a16="http://schemas.microsoft.com/office/drawing/2014/main" id="{F613623F-195C-4CD6-94D1-13314FC50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197997</xdr:colOff>
      <xdr:row>5</xdr:row>
      <xdr:rowOff>80277</xdr:rowOff>
    </xdr:from>
    <xdr:to>
      <xdr:col>11</xdr:col>
      <xdr:colOff>246356</xdr:colOff>
      <xdr:row>6</xdr:row>
      <xdr:rowOff>128814</xdr:rowOff>
    </xdr:to>
    <xdr:sp macro="" textlink="">
      <xdr:nvSpPr>
        <xdr:cNvPr id="81" name="TextBox 80">
          <a:extLst>
            <a:ext uri="{FF2B5EF4-FFF2-40B4-BE49-F238E27FC236}">
              <a16:creationId xmlns:a16="http://schemas.microsoft.com/office/drawing/2014/main" id="{1D4AE1E4-B96E-8F89-D154-32D283ECB32E}"/>
            </a:ext>
          </a:extLst>
        </xdr:cNvPr>
        <xdr:cNvSpPr txBox="1"/>
      </xdr:nvSpPr>
      <xdr:spPr>
        <a:xfrm>
          <a:off x="5701870" y="1002443"/>
          <a:ext cx="1271441" cy="232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solidFill>
                <a:schemeClr val="tx1"/>
              </a:solidFill>
            </a:rPr>
            <a:t>Gender wise Analysis</a:t>
          </a:r>
          <a:endParaRPr lang="en-IN" sz="800">
            <a:solidFill>
              <a:schemeClr val="tx1"/>
            </a:solidFill>
          </a:endParaRPr>
        </a:p>
      </xdr:txBody>
    </xdr:sp>
    <xdr:clientData/>
  </xdr:twoCellAnchor>
  <xdr:twoCellAnchor>
    <xdr:from>
      <xdr:col>7</xdr:col>
      <xdr:colOff>103710</xdr:colOff>
      <xdr:row>7</xdr:row>
      <xdr:rowOff>19281</xdr:rowOff>
    </xdr:from>
    <xdr:to>
      <xdr:col>11</xdr:col>
      <xdr:colOff>223709</xdr:colOff>
      <xdr:row>14</xdr:row>
      <xdr:rowOff>179070</xdr:rowOff>
    </xdr:to>
    <xdr:graphicFrame macro="">
      <xdr:nvGraphicFramePr>
        <xdr:cNvPr id="82" name="Chart 81">
          <a:extLst>
            <a:ext uri="{FF2B5EF4-FFF2-40B4-BE49-F238E27FC236}">
              <a16:creationId xmlns:a16="http://schemas.microsoft.com/office/drawing/2014/main" id="{75982B4F-92A1-4B55-8B28-ED32A25C7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7</xdr:col>
      <xdr:colOff>83697</xdr:colOff>
      <xdr:row>5</xdr:row>
      <xdr:rowOff>80277</xdr:rowOff>
    </xdr:from>
    <xdr:to>
      <xdr:col>9</xdr:col>
      <xdr:colOff>132056</xdr:colOff>
      <xdr:row>6</xdr:row>
      <xdr:rowOff>128814</xdr:rowOff>
    </xdr:to>
    <xdr:sp macro="" textlink="">
      <xdr:nvSpPr>
        <xdr:cNvPr id="83" name="TextBox 82">
          <a:extLst>
            <a:ext uri="{FF2B5EF4-FFF2-40B4-BE49-F238E27FC236}">
              <a16:creationId xmlns:a16="http://schemas.microsoft.com/office/drawing/2014/main" id="{E9FA105A-EFAE-6F5C-3CEE-8504D303D3FA}"/>
            </a:ext>
          </a:extLst>
        </xdr:cNvPr>
        <xdr:cNvSpPr txBox="1"/>
      </xdr:nvSpPr>
      <xdr:spPr>
        <a:xfrm>
          <a:off x="4350897" y="994677"/>
          <a:ext cx="1267559" cy="231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solidFill>
                <a:schemeClr val="tx1"/>
              </a:solidFill>
            </a:rPr>
            <a:t>Patients</a:t>
          </a:r>
          <a:r>
            <a:rPr lang="en-IN" sz="800" baseline="0">
              <a:solidFill>
                <a:schemeClr val="tx1"/>
              </a:solidFill>
            </a:rPr>
            <a:t> Attended Status</a:t>
          </a:r>
          <a:endParaRPr lang="en-IN" sz="800">
            <a:solidFill>
              <a:schemeClr val="tx1"/>
            </a:solidFill>
          </a:endParaRPr>
        </a:p>
      </xdr:txBody>
    </xdr:sp>
    <xdr:clientData/>
  </xdr:twoCellAnchor>
  <xdr:twoCellAnchor editAs="oneCell">
    <xdr:from>
      <xdr:col>5</xdr:col>
      <xdr:colOff>42335</xdr:colOff>
      <xdr:row>0</xdr:row>
      <xdr:rowOff>93134</xdr:rowOff>
    </xdr:from>
    <xdr:to>
      <xdr:col>7</xdr:col>
      <xdr:colOff>31161</xdr:colOff>
      <xdr:row>2</xdr:row>
      <xdr:rowOff>143934</xdr:rowOff>
    </xdr:to>
    <mc:AlternateContent xmlns:mc="http://schemas.openxmlformats.org/markup-compatibility/2006" xmlns:a14="http://schemas.microsoft.com/office/drawing/2010/main">
      <mc:Choice Requires="a14">
        <xdr:graphicFrame macro="">
          <xdr:nvGraphicFramePr>
            <xdr:cNvPr id="84" name="Date (Year)">
              <a:extLst>
                <a:ext uri="{FF2B5EF4-FFF2-40B4-BE49-F238E27FC236}">
                  <a16:creationId xmlns:a16="http://schemas.microsoft.com/office/drawing/2014/main" id="{9DCE3947-BB50-4B79-94F7-816BB99A5F3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085826" y="93134"/>
              <a:ext cx="1206223" cy="42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0</xdr:rowOff>
    </xdr:from>
    <xdr:to>
      <xdr:col>11</xdr:col>
      <xdr:colOff>594360</xdr:colOff>
      <xdr:row>20</xdr:row>
      <xdr:rowOff>7620</xdr:rowOff>
    </xdr:to>
    <xdr:graphicFrame macro="">
      <xdr:nvGraphicFramePr>
        <xdr:cNvPr id="3" name="Chart 2">
          <a:extLst>
            <a:ext uri="{FF2B5EF4-FFF2-40B4-BE49-F238E27FC236}">
              <a16:creationId xmlns:a16="http://schemas.microsoft.com/office/drawing/2014/main" id="{F156A5E8-9458-4B87-9778-DCDDA89EC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30480</xdr:colOff>
      <xdr:row>2</xdr:row>
      <xdr:rowOff>7620</xdr:rowOff>
    </xdr:from>
    <xdr:to>
      <xdr:col>1</xdr:col>
      <xdr:colOff>472440</xdr:colOff>
      <xdr:row>4</xdr:row>
      <xdr:rowOff>83820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1321FF53-5F6B-2512-58F5-1F63A9DABAE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40080" y="373380"/>
          <a:ext cx="441960" cy="4419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2</xdr:row>
      <xdr:rowOff>0</xdr:rowOff>
    </xdr:from>
    <xdr:to>
      <xdr:col>12</xdr:col>
      <xdr:colOff>39077</xdr:colOff>
      <xdr:row>19</xdr:row>
      <xdr:rowOff>167640</xdr:rowOff>
    </xdr:to>
    <xdr:graphicFrame macro="">
      <xdr:nvGraphicFramePr>
        <xdr:cNvPr id="2" name="Chart 1">
          <a:extLst>
            <a:ext uri="{FF2B5EF4-FFF2-40B4-BE49-F238E27FC236}">
              <a16:creationId xmlns:a16="http://schemas.microsoft.com/office/drawing/2014/main" id="{87ED624D-5504-4DAA-9796-B5AB8E537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30480</xdr:colOff>
      <xdr:row>1</xdr:row>
      <xdr:rowOff>172720</xdr:rowOff>
    </xdr:from>
    <xdr:to>
      <xdr:col>1</xdr:col>
      <xdr:colOff>528320</xdr:colOff>
      <xdr:row>4</xdr:row>
      <xdr:rowOff>121920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4231787A-0B21-AC37-6880-F8F98B40D67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40080" y="355600"/>
          <a:ext cx="497840" cy="4978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2</xdr:row>
      <xdr:rowOff>0</xdr:rowOff>
    </xdr:from>
    <xdr:to>
      <xdr:col>11</xdr:col>
      <xdr:colOff>579120</xdr:colOff>
      <xdr:row>20</xdr:row>
      <xdr:rowOff>0</xdr:rowOff>
    </xdr:to>
    <xdr:graphicFrame macro="">
      <xdr:nvGraphicFramePr>
        <xdr:cNvPr id="2" name="Chart 1">
          <a:extLst>
            <a:ext uri="{FF2B5EF4-FFF2-40B4-BE49-F238E27FC236}">
              <a16:creationId xmlns:a16="http://schemas.microsoft.com/office/drawing/2014/main" id="{5600DE1A-0CF3-4A47-A790-052450488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0.00571</cdr:x>
      <cdr:y>0.00463</cdr:y>
    </cdr:from>
    <cdr:to>
      <cdr:x>0.06507</cdr:x>
      <cdr:y>0.125</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567C763-EF03-A82F-B008-79A945322EA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8100" y="15240"/>
          <a:ext cx="396240" cy="39624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Gohel" refreshedDate="46248.711599074071" createdVersion="5" refreshedVersion="8" minRefreshableVersion="3" recordCount="0" supportSubquery="1" supportAdvancedDrill="1" xr:uid="{F2E82707-7E95-4204-B458-6B62E3FA5178}">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Gohel" refreshedDate="46248.711599189817" createdVersion="5" refreshedVersion="8" minRefreshableVersion="3" recordCount="0" supportSubquery="1" supportAdvancedDrill="1" xr:uid="{C9EC61A8-6F1C-453E-B537-30B60ABC9A12}">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Gohel" refreshedDate="46248.711599189817" createdVersion="5" refreshedVersion="8" minRefreshableVersion="3" recordCount="0" supportSubquery="1" supportAdvancedDrill="1" xr:uid="{AE62D438-F4D4-4847-8179-4439D35BEFDE}">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Gohel" refreshedDate="46248.711599421295" createdVersion="5" refreshedVersion="8" minRefreshableVersion="3" recordCount="0" supportSubquery="1" supportAdvancedDrill="1" xr:uid="{6E93EA02-AC82-4B77-AEBD-9E67BA08A1D5}">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Gohel" refreshedDate="46248.711599768518" createdVersion="5" refreshedVersion="8" minRefreshableVersion="3" recordCount="0" supportSubquery="1" supportAdvancedDrill="1" xr:uid="{8800A6C7-A622-468B-9DB8-3456A51FC090}">
  <cacheSource type="external" connectionId="3"/>
  <cacheFields count="4">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Gohel" refreshedDate="46248.711600115741" createdVersion="5" refreshedVersion="8" minRefreshableVersion="3" recordCount="0" supportSubquery="1" supportAdvancedDrill="1" xr:uid="{9EA5394B-973A-4AA7-BF8B-9496C5631ABD}">
  <cacheSource type="external" connectionId="3"/>
  <cacheFields count="4">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Gohel" refreshedDate="46248.711600462964" createdVersion="5" refreshedVersion="8" minRefreshableVersion="3" recordCount="0" supportSubquery="1" supportAdvancedDrill="1" xr:uid="{82896698-1480-45D1-B15B-C555E7E5263A}">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Gohel" refreshedDate="46248.711600810188" createdVersion="5" refreshedVersion="8" minRefreshableVersion="3" recordCount="0" supportSubquery="1" supportAdvancedDrill="1" xr:uid="{69416DFD-9B17-4171-A067-5D4723063C84}">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Gohel" refreshedDate="46248.711601273149" createdVersion="5" refreshedVersion="8" minRefreshableVersion="3" recordCount="0" supportSubquery="1" supportAdvancedDrill="1" xr:uid="{9F36633C-34A5-49B2-B121-7BA74A42AED2}">
  <cacheSource type="external" connectionId="3"/>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Calculated Column 1].[Calculated Column 1]" caption="Calculated Column 1" numFmtId="0" hierarchy="17" level="1">
      <sharedItems count="2">
        <s v="Delay"/>
        <s v="Ontime"/>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Gohel" refreshedDate="46248.711601620373" createdVersion="5" refreshedVersion="8" minRefreshableVersion="3" recordCount="0" supportSubquery="1" supportAdvancedDrill="1" xr:uid="{E3A218E7-3AC6-4AD3-B0C4-6D902D19A7AA}">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3">
        <s v="F"/>
        <s v="Male"/>
        <s v="Female" u="1"/>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Gohel" refreshedDate="46248.711601967596" createdVersion="5" refreshedVersion="8" minRefreshableVersion="3" recordCount="0" supportSubquery="1" supportAdvancedDrill="1" xr:uid="{8BF3CE5E-B81B-49AA-80D5-2978DA770B53}">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Gohel" refreshedDate="46248.711602314812" createdVersion="5" refreshedVersion="8" minRefreshableVersion="3" recordCount="0" supportSubquery="1" supportAdvancedDrill="1" xr:uid="{6FA6F795-88B8-4726-90B7-7300BED2F94A}">
  <cacheSource type="external" connectionId="3"/>
  <cacheFields count="4">
    <cacheField name="[Calendar_Table].[Date (Month)].[Date (Month)]" caption="Date (Month)" numFmtId="0" hierarchy="1" level="1">
      <sharedItems count="1">
        <s v="Jul"/>
      </sharedItems>
    </cacheField>
    <cacheField name="[Calendar_Table].[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Gohel" refreshedDate="46248.703872685182" createdVersion="3" refreshedVersion="8" minRefreshableVersion="3" recordCount="0" supportSubquery="1" supportAdvancedDrill="1" xr:uid="{0330F893-E372-4E96-B3C0-0ECF2C315868}">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499703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6467EA-A735-42CE-B84A-F3BF27AFE0CE}" name="PivotTable13" cacheId="11" applyNumberFormats="0" applyBorderFormats="0" applyFontFormats="0" applyPatternFormats="0" applyAlignmentFormats="0" applyWidthHeightFormats="1" dataCaption="Values" tag="b2ea4997-29a9-4dd3-821e-a5e7673c8771" updatedVersion="8" minRefreshableVersion="3" subtotalHiddenItems="1" itemPrintTitles="1" createdVersion="5" indent="0" outline="1" outlineData="1" multipleFieldFilters="0" chartFormat="38">
  <location ref="A67:A69"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1">
      <pivotArea outline="0" collapsedLevelsAreSubtotals="1" fieldPosition="0"/>
    </format>
    <format dxfId="0">
      <pivotArea grandRow="1"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FF8080-3DA7-4468-AE68-44FC9B6F1552}" name="PivotTable12" cacheId="10" applyNumberFormats="0" applyBorderFormats="0" applyFontFormats="0" applyPatternFormats="0" applyAlignmentFormats="0" applyWidthHeightFormats="1" dataCaption="Values" tag="d57c9ed9-e896-4e3a-94a4-feb2f3570289" updatedVersion="8" minRefreshableVersion="3" subtotalHiddenItems="1" itemPrintTitles="1" createdVersion="5" indent="0" outline="1" outlineData="1" multipleFieldFilters="0" chartFormat="57">
  <location ref="J55:K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formats count="3">
    <format dxfId="4">
      <pivotArea outline="0" collapsedLevelsAreSubtotals="1" fieldPosition="0"/>
    </format>
    <format dxfId="3">
      <pivotArea grandRow="1" outline="0" collapsedLevelsAreSubtotals="1" fieldPosition="0"/>
    </format>
    <format dxfId="2">
      <pivotArea collapsedLevelsAreSubtotals="1" fieldPosition="0">
        <references count="1">
          <reference field="1" count="0"/>
        </references>
      </pivotArea>
    </format>
  </formats>
  <chartFormats count="1">
    <chartFormat chart="5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381D6A-5688-4D6A-AE36-EB5C3473F8CE}" name="PivotTable1" cacheId="1" applyNumberFormats="0" applyBorderFormats="0" applyFontFormats="0" applyPatternFormats="0" applyAlignmentFormats="0" applyWidthHeightFormats="1" dataCaption="Values" tag="69a1a4d5-45b8-4158-b5e7-622eb2df7b73" updatedVersion="8"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15075A-4DDD-4B76-B8F5-7D747E5CCBF2}" name="PivotTable6" cacheId="5" applyNumberFormats="0" applyBorderFormats="0" applyFontFormats="0" applyPatternFormats="0" applyAlignmentFormats="0" applyWidthHeightFormats="1" dataCaption="Values" tag="629ea84a-23cd-4c81-a5ea-b1091c8d03f4" updatedVersion="8" minRefreshableVersion="3" subtotalHiddenItems="1" itemPrintTitles="1" createdVersion="5" indent="0" outline="1" outlineData="1" multipleFieldFilters="0" chartFormat="30">
  <location ref="J3:K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5">
      <pivotArea collapsedLevelsAreSubtotals="1" fieldPosition="0">
        <references count="1">
          <reference field="0" count="0"/>
        </references>
      </pivotArea>
    </format>
  </formats>
  <chartFormats count="2">
    <chartFormat chart="25"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0CD747-2CC9-40A8-8EE8-6ED64AE0B096}" name="PivotTable11" cacheId="9" applyNumberFormats="0" applyBorderFormats="0" applyFontFormats="0" applyPatternFormats="0" applyAlignmentFormats="0" applyWidthHeightFormats="1" dataCaption="Values" tag="479c64cf-a83d-4d51-b047-a0746d945f19" updatedVersion="8" minRefreshableVersion="3" subtotalHiddenItems="1" itemPrintTitles="1" createdVersion="5" indent="0" outline="1" outlineData="1" multipleFieldFilters="0" chartFormat="52">
  <location ref="G55:H58"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3">
        <item x="0"/>
        <item x="2"/>
        <item x="1"/>
      </items>
    </pivotField>
    <pivotField dataField="1" subtotalTop="0" showAll="0" defaultSubtotal="0"/>
    <pivotField allDrilled="1" subtotalTop="0" showAll="0" dataSourceSort="1" defaultSubtotal="0" defaultAttributeDrillState="1"/>
  </pivotFields>
  <rowFields count="1">
    <field x="1"/>
  </rowFields>
  <rowItems count="3">
    <i>
      <x/>
    </i>
    <i>
      <x v="2"/>
    </i>
    <i t="grand">
      <x/>
    </i>
  </rowItems>
  <colItems count="1">
    <i/>
  </colItems>
  <dataFields count="1">
    <dataField name="Count of Patient Gender" fld="2" subtotal="count" baseField="0" baseItem="0"/>
  </dataFields>
  <formats count="3">
    <format dxfId="8">
      <pivotArea outline="0" collapsedLevelsAreSubtotals="1" fieldPosition="0"/>
    </format>
    <format dxfId="7">
      <pivotArea grandRow="1" outline="0" collapsedLevelsAreSubtotals="1" fieldPosition="0"/>
    </format>
    <format dxfId="6">
      <pivotArea collapsedLevelsAreSubtotals="1" fieldPosition="0">
        <references count="1">
          <reference field="1" count="0"/>
        </references>
      </pivotArea>
    </format>
  </formats>
  <chartFormats count="4">
    <chartFormat chart="51" format="5" series="1">
      <pivotArea type="data" outline="0" fieldPosition="0">
        <references count="1">
          <reference field="4294967294" count="1" selected="0">
            <x v="0"/>
          </reference>
        </references>
      </pivotArea>
    </chartFormat>
    <chartFormat chart="51" format="6">
      <pivotArea type="data" outline="0" fieldPosition="0">
        <references count="2">
          <reference field="4294967294" count="1" selected="0">
            <x v="0"/>
          </reference>
          <reference field="1" count="1" selected="0">
            <x v="0"/>
          </reference>
        </references>
      </pivotArea>
    </chartFormat>
    <chartFormat chart="51" format="7">
      <pivotArea type="data" outline="0" fieldPosition="0">
        <references count="2">
          <reference field="4294967294" count="1" selected="0">
            <x v="0"/>
          </reference>
          <reference field="1" count="1" selected="0">
            <x v="1"/>
          </reference>
        </references>
      </pivotArea>
    </chartFormat>
    <chartFormat chart="51" format="8">
      <pivotArea type="data" outline="0" fieldPosition="0">
        <references count="2">
          <reference field="4294967294" count="1" selected="0">
            <x v="0"/>
          </reference>
          <reference field="1" count="1" selected="0">
            <x v="2"/>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32109E-B81E-4BEF-9B71-0BE8F2A97039}" name="PivotTable5" cacheId="4" applyNumberFormats="0" applyBorderFormats="0" applyFontFormats="0" applyPatternFormats="0" applyAlignmentFormats="0" applyWidthHeightFormats="1" dataCaption="Values" tag="8f4e2ca0-603a-44ab-b8b3-233b73b3534e" updatedVersion="8" minRefreshableVersion="3" subtotalHiddenItems="1" itemPrintTitles="1" createdVersion="5" indent="0" outline="1" outlineData="1" multipleFieldFilters="0" chartFormat="22">
  <location ref="G3:H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9">
      <pivotArea collapsedLevelsAreSubtotals="1" fieldPosition="0">
        <references count="1">
          <reference field="0" count="0"/>
        </references>
      </pivotArea>
    </format>
  </formats>
  <chartFormats count="2">
    <chartFormat chart="17"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DD8A08-B5A3-4271-9261-32E18EA1B726}" name="PivotTable4" cacheId="0" applyNumberFormats="0" applyBorderFormats="0" applyFontFormats="0" applyPatternFormats="0" applyAlignmentFormats="0" applyWidthHeightFormats="1" dataCaption="Values" tag="a564c8e9-8140-41d0-8980-5dc7762d4902" updatedVersion="8" minRefreshableVersion="3" subtotalHiddenItems="1" itemPrintTitles="1" createdVersion="5" indent="0" outline="1" outlineData="1" multipleFieldFilters="0" chartFormat="14">
  <location ref="D3:E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5"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C2C9C5-2BF9-4F07-91D5-CE2A3E7C8070}" name="PivotTable10" cacheId="8" applyNumberFormats="0" applyBorderFormats="0" applyFontFormats="0" applyPatternFormats="0" applyAlignmentFormats="0" applyWidthHeightFormats="1" dataCaption="Values" tag="cc3c6894-7639-44b9-bd11-aca6d2d56787" updatedVersion="8" minRefreshableVersion="3" subtotalHiddenItems="1" itemPrintTitles="1" createdVersion="5" indent="0" outline="1" outlineData="1" multipleFieldFilters="0" chartFormat="48">
  <location ref="D55:E5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2">
    <format dxfId="11">
      <pivotArea outline="0" collapsedLevelsAreSubtotals="1" fieldPosition="0"/>
    </format>
    <format dxfId="10">
      <pivotArea grandRow="1" outline="0" collapsedLevelsAreSubtotals="1" fieldPosition="0"/>
    </format>
  </formats>
  <chartFormats count="3">
    <chartFormat chart="45" format="4" series="1">
      <pivotArea type="data" outline="0" fieldPosition="0">
        <references count="1">
          <reference field="4294967294" count="1" selected="0">
            <x v="0"/>
          </reference>
        </references>
      </pivotArea>
    </chartFormat>
    <chartFormat chart="45" format="5">
      <pivotArea type="data" outline="0" fieldPosition="0">
        <references count="2">
          <reference field="4294967294" count="1" selected="0">
            <x v="0"/>
          </reference>
          <reference field="2" count="1" selected="0">
            <x v="0"/>
          </reference>
        </references>
      </pivotArea>
    </chartFormat>
    <chartFormat chart="45"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BDF5F6-DDDA-44AF-AE01-5C26234FEDD3}" name="PivotTable3" cacheId="3" applyNumberFormats="0" applyBorderFormats="0" applyFontFormats="0" applyPatternFormats="0" applyAlignmentFormats="0" applyWidthHeightFormats="1" dataCaption="Values" tag="2601b710-1388-4f53-a05c-a68b747bb28b"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2">
      <pivotArea outline="0" collapsedLevelsAreSubtotals="1" fieldPosition="0"/>
    </format>
  </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0B5F3C-203A-49C1-8A29-C93393FFEE8A}" name="PivotTable9" cacheId="7" applyNumberFormats="0" applyBorderFormats="0" applyFontFormats="0" applyPatternFormats="0" applyAlignmentFormats="0" applyWidthHeightFormats="1" dataCaption="Values" tag="5cfae8be-1943-48c9-a20c-fdfe08931e13" updatedVersion="8" minRefreshableVersion="3" subtotalHiddenItems="1" itemPrintTitles="1" createdVersion="5" indent="0" outline="1" outlineData="1" multipleFieldFilters="0" chartFormat="38">
  <location ref="A55:B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4">
      <pivotArea outline="0" collapsedLevelsAreSubtotals="1" fieldPosition="0"/>
    </format>
    <format dxfId="13">
      <pivotArea grandRow="1" outline="0" collapsedLevelsAreSubtotals="1" fieldPosition="0"/>
    </format>
  </formats>
  <chartFormats count="1">
    <chartFormat chart="3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B673C1-8992-4411-908B-8381E5ACE09A}" name="PivotTable2" cacheId="2" applyNumberFormats="0" applyBorderFormats="0" applyFontFormats="0" applyPatternFormats="0" applyAlignmentFormats="0" applyWidthHeightFormats="1" dataCaption="Values" tag="5c4d04ca-58d5-4d59-a781-76f01797ebe0" updatedVersion="8" minRefreshableVersion="3" subtotalHiddenItems="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5">
      <pivotArea outline="0" collapsedLevelsAreSubtotals="1" fieldPosition="0"/>
    </format>
  </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03AF499-26DF-44F0-8804-8484A29F6681}" name="PivotTable8" cacheId="6" applyNumberFormats="0" applyBorderFormats="0" applyFontFormats="0" applyPatternFormats="0" applyAlignmentFormats="0" applyWidthHeightFormats="1" dataCaption="Values" tag="4d1f3539-5510-4acb-971f-386e4a93846f" updatedVersion="8" minRefreshableVersion="3" subtotalHiddenItems="1" itemPrintTitles="1" createdVersion="5" indent="0" outline="1" outlineData="1" multipleFieldFilters="0" chartFormat="42">
  <location ref="A38:C41" firstHeaderRow="0" firstDataRow="1" firstDataCol="1"/>
  <pivotFields count="5">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19">
      <pivotArea outline="0" collapsedLevelsAreSubtotals="1" fieldPosition="0"/>
    </format>
    <format dxfId="18">
      <pivotArea collapsedLevelsAreSubtotals="1" fieldPosition="0">
        <references count="1">
          <reference field="1" count="0"/>
        </references>
      </pivotArea>
    </format>
    <format dxfId="17">
      <pivotArea grandRow="1" outline="0" collapsedLevelsAreSubtotals="1" fieldPosition="0"/>
    </format>
    <format dxfId="16">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E54D42A-B09D-40F6-A2EF-3BFB7CF1844C}"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8"/>
    <pivotTable tabId="1" name="PivotTable9"/>
    <pivotTable tabId="1" name="PivotTable10"/>
    <pivotTable tabId="1" name="PivotTable11"/>
    <pivotTable tabId="1" name="PivotTable12"/>
    <pivotTable tabId="1" name="PivotTable13"/>
  </pivotTables>
  <data>
    <olap pivotCacheId="1649970394">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9414746-0459-4422-A144-5CE7692FF019}" sourceName="[Calenda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data>
    <olap pivotCacheId="164997039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BE7712C-3362-4FB8-9E75-1903B2E09270}" cache="Slicer_Date__Month" caption="Date (Month)" showCaption="0" level="1" style="Slicer 2" rowHeight="144000"/>
  <slicer name="Date (Year)" xr10:uid="{9B09BCCC-F8A9-4DBF-BDD2-344D3359E9F5}" cache="Slicer_Date__Year" caption="Date (Year)" columnCount="2" showCaption="0" level="1" style="Slicer 2 2"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1C2B7-8CDC-4713-A7F2-F1F2AE06A274}">
  <dimension ref="A3:N69"/>
  <sheetViews>
    <sheetView tabSelected="1" topLeftCell="E13" zoomScale="28" zoomScaleNormal="100" workbookViewId="0">
      <selection activeCell="K43" sqref="K43"/>
    </sheetView>
  </sheetViews>
  <sheetFormatPr defaultRowHeight="14.4" x14ac:dyDescent="0.3"/>
  <cols>
    <col min="1" max="1" width="15.21875" customWidth="1"/>
    <col min="2" max="2" width="12.88671875" customWidth="1"/>
    <col min="3" max="3" width="8.44140625" customWidth="1"/>
    <col min="4" max="4" width="19.88671875" customWidth="1"/>
    <col min="5" max="5" width="23.33203125" bestFit="1" customWidth="1"/>
    <col min="7" max="7" width="12.44140625" bestFit="1" customWidth="1"/>
    <col min="8" max="8" width="23.33203125" bestFit="1" customWidth="1"/>
    <col min="10" max="10" width="12.44140625" bestFit="1" customWidth="1"/>
    <col min="11" max="11" width="61.88671875" bestFit="1" customWidth="1"/>
  </cols>
  <sheetData>
    <row r="3" spans="1:11" x14ac:dyDescent="0.3">
      <c r="A3" t="s">
        <v>1</v>
      </c>
      <c r="D3" s="1" t="s">
        <v>18</v>
      </c>
      <c r="E3" t="s">
        <v>1</v>
      </c>
      <c r="G3" s="1" t="s">
        <v>18</v>
      </c>
      <c r="H3" t="s">
        <v>16</v>
      </c>
      <c r="J3" s="1" t="s">
        <v>18</v>
      </c>
      <c r="K3" t="s">
        <v>17</v>
      </c>
    </row>
    <row r="4" spans="1:11" x14ac:dyDescent="0.3">
      <c r="A4">
        <v>488</v>
      </c>
      <c r="D4" s="4" t="s">
        <v>21</v>
      </c>
      <c r="E4">
        <v>17</v>
      </c>
      <c r="G4" s="4" t="s">
        <v>21</v>
      </c>
      <c r="H4" s="2">
        <v>36.941176470588232</v>
      </c>
      <c r="J4" s="4" t="s">
        <v>21</v>
      </c>
      <c r="K4" s="2">
        <v>4.125</v>
      </c>
    </row>
    <row r="5" spans="1:11" x14ac:dyDescent="0.3">
      <c r="D5" s="4" t="s">
        <v>22</v>
      </c>
      <c r="E5">
        <v>19</v>
      </c>
      <c r="G5" s="4" t="s">
        <v>22</v>
      </c>
      <c r="H5" s="2">
        <v>30.842105263157894</v>
      </c>
      <c r="J5" s="4" t="s">
        <v>22</v>
      </c>
      <c r="K5" s="2">
        <v>5.333333333333333</v>
      </c>
    </row>
    <row r="6" spans="1:11" x14ac:dyDescent="0.3">
      <c r="A6" t="s">
        <v>16</v>
      </c>
      <c r="D6" s="4" t="s">
        <v>23</v>
      </c>
      <c r="E6">
        <v>12</v>
      </c>
      <c r="G6" s="4" t="s">
        <v>23</v>
      </c>
      <c r="H6" s="2">
        <v>31.833333333333332</v>
      </c>
      <c r="J6" s="4" t="s">
        <v>23</v>
      </c>
      <c r="K6" s="2">
        <v>4.75</v>
      </c>
    </row>
    <row r="7" spans="1:11" x14ac:dyDescent="0.3">
      <c r="A7" s="2">
        <v>35.19877049180328</v>
      </c>
      <c r="D7" s="4" t="s">
        <v>24</v>
      </c>
      <c r="E7">
        <v>9</v>
      </c>
      <c r="G7" s="4" t="s">
        <v>24</v>
      </c>
      <c r="H7" s="2">
        <v>33.777777777777779</v>
      </c>
      <c r="J7" s="4" t="s">
        <v>24</v>
      </c>
      <c r="K7" s="2">
        <v>2</v>
      </c>
    </row>
    <row r="8" spans="1:11" x14ac:dyDescent="0.3">
      <c r="D8" s="4" t="s">
        <v>25</v>
      </c>
      <c r="E8">
        <v>15</v>
      </c>
      <c r="G8" s="4" t="s">
        <v>25</v>
      </c>
      <c r="H8" s="2">
        <v>30.466666666666665</v>
      </c>
      <c r="J8" s="4" t="s">
        <v>25</v>
      </c>
      <c r="K8" s="2">
        <v>8</v>
      </c>
    </row>
    <row r="9" spans="1:11" x14ac:dyDescent="0.3">
      <c r="A9" t="s">
        <v>17</v>
      </c>
      <c r="D9" s="4" t="s">
        <v>26</v>
      </c>
      <c r="E9">
        <v>10</v>
      </c>
      <c r="G9" s="4" t="s">
        <v>26</v>
      </c>
      <c r="H9" s="2">
        <v>38.799999999999997</v>
      </c>
      <c r="J9" s="4" t="s">
        <v>26</v>
      </c>
      <c r="K9" s="2">
        <v>3.5</v>
      </c>
    </row>
    <row r="10" spans="1:11" x14ac:dyDescent="0.3">
      <c r="A10" s="2">
        <v>4.7876712328767121</v>
      </c>
      <c r="D10" s="4" t="s">
        <v>27</v>
      </c>
      <c r="E10">
        <v>18</v>
      </c>
      <c r="G10" s="4" t="s">
        <v>27</v>
      </c>
      <c r="H10" s="2">
        <v>30.277777777777779</v>
      </c>
      <c r="J10" s="4" t="s">
        <v>27</v>
      </c>
      <c r="K10" s="2">
        <v>7</v>
      </c>
    </row>
    <row r="11" spans="1:11" x14ac:dyDescent="0.3">
      <c r="D11" s="4" t="s">
        <v>28</v>
      </c>
      <c r="E11">
        <v>19</v>
      </c>
      <c r="G11" s="4" t="s">
        <v>28</v>
      </c>
      <c r="H11" s="2">
        <v>35.157894736842103</v>
      </c>
      <c r="J11" s="4" t="s">
        <v>28</v>
      </c>
      <c r="K11" s="2">
        <v>3.5</v>
      </c>
    </row>
    <row r="12" spans="1:11" x14ac:dyDescent="0.3">
      <c r="D12" s="4" t="s">
        <v>29</v>
      </c>
      <c r="E12">
        <v>19</v>
      </c>
      <c r="G12" s="4" t="s">
        <v>29</v>
      </c>
      <c r="H12" s="2">
        <v>37.94736842105263</v>
      </c>
      <c r="J12" s="4" t="s">
        <v>29</v>
      </c>
      <c r="K12" s="2">
        <v>6.4</v>
      </c>
    </row>
    <row r="13" spans="1:11" x14ac:dyDescent="0.3">
      <c r="D13" s="4" t="s">
        <v>30</v>
      </c>
      <c r="E13">
        <v>13</v>
      </c>
      <c r="G13" s="4" t="s">
        <v>30</v>
      </c>
      <c r="H13" s="2">
        <v>33.92307692307692</v>
      </c>
      <c r="J13" s="4" t="s">
        <v>30</v>
      </c>
      <c r="K13" s="2">
        <v>3.5</v>
      </c>
    </row>
    <row r="14" spans="1:11" x14ac:dyDescent="0.3">
      <c r="D14" s="4" t="s">
        <v>31</v>
      </c>
      <c r="E14">
        <v>15</v>
      </c>
      <c r="G14" s="4" t="s">
        <v>31</v>
      </c>
      <c r="H14" s="2">
        <v>33.200000000000003</v>
      </c>
      <c r="J14" s="4" t="s">
        <v>31</v>
      </c>
      <c r="K14" s="2">
        <v>6.5</v>
      </c>
    </row>
    <row r="15" spans="1:11" x14ac:dyDescent="0.3">
      <c r="D15" s="4" t="s">
        <v>32</v>
      </c>
      <c r="E15">
        <v>25</v>
      </c>
      <c r="G15" s="4" t="s">
        <v>32</v>
      </c>
      <c r="H15" s="2">
        <v>40.159999999999997</v>
      </c>
      <c r="J15" s="4" t="s">
        <v>32</v>
      </c>
      <c r="K15" s="2">
        <v>5.2857142857142856</v>
      </c>
    </row>
    <row r="16" spans="1:11" x14ac:dyDescent="0.3">
      <c r="D16" s="4" t="s">
        <v>33</v>
      </c>
      <c r="E16">
        <v>19</v>
      </c>
      <c r="G16" s="4" t="s">
        <v>33</v>
      </c>
      <c r="H16" s="2">
        <v>41.578947368421055</v>
      </c>
      <c r="J16" s="4" t="s">
        <v>33</v>
      </c>
      <c r="K16" s="2">
        <v>4.333333333333333</v>
      </c>
    </row>
    <row r="17" spans="4:11" x14ac:dyDescent="0.3">
      <c r="D17" s="4" t="s">
        <v>34</v>
      </c>
      <c r="E17">
        <v>15</v>
      </c>
      <c r="G17" s="4" t="s">
        <v>34</v>
      </c>
      <c r="H17" s="2">
        <v>36.866666666666667</v>
      </c>
      <c r="J17" s="4" t="s">
        <v>34</v>
      </c>
      <c r="K17" s="2">
        <v>3</v>
      </c>
    </row>
    <row r="18" spans="4:11" x14ac:dyDescent="0.3">
      <c r="D18" s="4" t="s">
        <v>35</v>
      </c>
      <c r="E18">
        <v>14</v>
      </c>
      <c r="G18" s="4" t="s">
        <v>35</v>
      </c>
      <c r="H18" s="2">
        <v>33.714285714285715</v>
      </c>
      <c r="J18" s="4" t="s">
        <v>35</v>
      </c>
      <c r="K18" s="2">
        <v>4.333333333333333</v>
      </c>
    </row>
    <row r="19" spans="4:11" x14ac:dyDescent="0.3">
      <c r="D19" s="4" t="s">
        <v>36</v>
      </c>
      <c r="E19">
        <v>20</v>
      </c>
      <c r="G19" s="4" t="s">
        <v>36</v>
      </c>
      <c r="H19" s="2">
        <v>33.700000000000003</v>
      </c>
      <c r="J19" s="4" t="s">
        <v>36</v>
      </c>
      <c r="K19" s="2">
        <v>3.3333333333333335</v>
      </c>
    </row>
    <row r="20" spans="4:11" x14ac:dyDescent="0.3">
      <c r="D20" s="4" t="s">
        <v>37</v>
      </c>
      <c r="E20">
        <v>14</v>
      </c>
      <c r="G20" s="4" t="s">
        <v>37</v>
      </c>
      <c r="H20" s="2">
        <v>34.642857142857146</v>
      </c>
      <c r="J20" s="4" t="s">
        <v>37</v>
      </c>
      <c r="K20" s="2">
        <v>2.5714285714285716</v>
      </c>
    </row>
    <row r="21" spans="4:11" x14ac:dyDescent="0.3">
      <c r="D21" s="4" t="s">
        <v>38</v>
      </c>
      <c r="E21">
        <v>14</v>
      </c>
      <c r="G21" s="4" t="s">
        <v>38</v>
      </c>
      <c r="H21" s="2">
        <v>36.5</v>
      </c>
      <c r="J21" s="4" t="s">
        <v>38</v>
      </c>
      <c r="K21" s="2">
        <v>3.75</v>
      </c>
    </row>
    <row r="22" spans="4:11" x14ac:dyDescent="0.3">
      <c r="D22" s="4" t="s">
        <v>39</v>
      </c>
      <c r="E22">
        <v>17</v>
      </c>
      <c r="G22" s="4" t="s">
        <v>39</v>
      </c>
      <c r="H22" s="2">
        <v>33.058823529411768</v>
      </c>
      <c r="J22" s="4" t="s">
        <v>39</v>
      </c>
      <c r="K22" s="2">
        <v>8.3333333333333339</v>
      </c>
    </row>
    <row r="23" spans="4:11" x14ac:dyDescent="0.3">
      <c r="D23" s="4" t="s">
        <v>40</v>
      </c>
      <c r="E23">
        <v>16</v>
      </c>
      <c r="G23" s="4" t="s">
        <v>40</v>
      </c>
      <c r="H23" s="2">
        <v>33.5625</v>
      </c>
      <c r="J23" s="4" t="s">
        <v>40</v>
      </c>
      <c r="K23" s="2">
        <v>3.75</v>
      </c>
    </row>
    <row r="24" spans="4:11" x14ac:dyDescent="0.3">
      <c r="D24" s="4" t="s">
        <v>41</v>
      </c>
      <c r="E24">
        <v>18</v>
      </c>
      <c r="G24" s="4" t="s">
        <v>41</v>
      </c>
      <c r="H24" s="2">
        <v>31.555555555555557</v>
      </c>
      <c r="J24" s="4" t="s">
        <v>41</v>
      </c>
      <c r="K24" s="2">
        <v>4.666666666666667</v>
      </c>
    </row>
    <row r="25" spans="4:11" x14ac:dyDescent="0.3">
      <c r="D25" s="4" t="s">
        <v>42</v>
      </c>
      <c r="E25">
        <v>8</v>
      </c>
      <c r="G25" s="4" t="s">
        <v>42</v>
      </c>
      <c r="H25" s="2">
        <v>38.375</v>
      </c>
      <c r="J25" s="4" t="s">
        <v>42</v>
      </c>
      <c r="K25" s="2">
        <v>5</v>
      </c>
    </row>
    <row r="26" spans="4:11" x14ac:dyDescent="0.3">
      <c r="D26" s="4" t="s">
        <v>43</v>
      </c>
      <c r="E26">
        <v>17</v>
      </c>
      <c r="G26" s="4" t="s">
        <v>43</v>
      </c>
      <c r="H26" s="2">
        <v>35.411764705882355</v>
      </c>
      <c r="J26" s="4" t="s">
        <v>43</v>
      </c>
      <c r="K26" s="2">
        <v>4.333333333333333</v>
      </c>
    </row>
    <row r="27" spans="4:11" x14ac:dyDescent="0.3">
      <c r="D27" s="4" t="s">
        <v>44</v>
      </c>
      <c r="E27">
        <v>11</v>
      </c>
      <c r="G27" s="4" t="s">
        <v>44</v>
      </c>
      <c r="H27" s="2">
        <v>34.909090909090907</v>
      </c>
      <c r="J27" s="4" t="s">
        <v>44</v>
      </c>
      <c r="K27" s="2">
        <v>4.666666666666667</v>
      </c>
    </row>
    <row r="28" spans="4:11" x14ac:dyDescent="0.3">
      <c r="D28" s="4" t="s">
        <v>45</v>
      </c>
      <c r="E28">
        <v>15</v>
      </c>
      <c r="G28" s="4" t="s">
        <v>45</v>
      </c>
      <c r="H28" s="2">
        <v>35.133333333333333</v>
      </c>
      <c r="J28" s="4" t="s">
        <v>45</v>
      </c>
      <c r="K28" s="2">
        <v>4.5</v>
      </c>
    </row>
    <row r="29" spans="4:11" x14ac:dyDescent="0.3">
      <c r="D29" s="4" t="s">
        <v>46</v>
      </c>
      <c r="E29">
        <v>13</v>
      </c>
      <c r="G29" s="4" t="s">
        <v>46</v>
      </c>
      <c r="H29" s="2">
        <v>35.07692307692308</v>
      </c>
      <c r="J29" s="4" t="s">
        <v>46</v>
      </c>
      <c r="K29" s="2">
        <v>6</v>
      </c>
    </row>
    <row r="30" spans="4:11" x14ac:dyDescent="0.3">
      <c r="D30" s="4" t="s">
        <v>47</v>
      </c>
      <c r="E30">
        <v>17</v>
      </c>
      <c r="G30" s="4" t="s">
        <v>47</v>
      </c>
      <c r="H30" s="2">
        <v>35.352941176470587</v>
      </c>
      <c r="J30" s="4" t="s">
        <v>47</v>
      </c>
      <c r="K30" s="2">
        <v>6.8888888888888893</v>
      </c>
    </row>
    <row r="31" spans="4:11" x14ac:dyDescent="0.3">
      <c r="D31" s="4" t="s">
        <v>48</v>
      </c>
      <c r="E31">
        <v>20</v>
      </c>
      <c r="G31" s="4" t="s">
        <v>48</v>
      </c>
      <c r="H31" s="2">
        <v>36.6</v>
      </c>
      <c r="J31" s="4" t="s">
        <v>48</v>
      </c>
      <c r="K31" s="2">
        <v>6.5714285714285712</v>
      </c>
    </row>
    <row r="32" spans="4:11" x14ac:dyDescent="0.3">
      <c r="D32" s="4" t="s">
        <v>49</v>
      </c>
      <c r="E32">
        <v>20</v>
      </c>
      <c r="G32" s="4" t="s">
        <v>49</v>
      </c>
      <c r="H32" s="2">
        <v>35.799999999999997</v>
      </c>
      <c r="J32" s="4" t="s">
        <v>49</v>
      </c>
      <c r="K32" s="2">
        <v>4.0999999999999996</v>
      </c>
    </row>
    <row r="33" spans="1:14" x14ac:dyDescent="0.3">
      <c r="D33" s="4" t="s">
        <v>50</v>
      </c>
      <c r="E33">
        <v>13</v>
      </c>
      <c r="G33" s="4" t="s">
        <v>50</v>
      </c>
      <c r="H33" s="2">
        <v>30.307692307692307</v>
      </c>
      <c r="J33" s="4" t="s">
        <v>50</v>
      </c>
      <c r="K33" s="2">
        <v>5</v>
      </c>
    </row>
    <row r="34" spans="1:14" x14ac:dyDescent="0.3">
      <c r="D34" s="4" t="s">
        <v>51</v>
      </c>
      <c r="E34">
        <v>16</v>
      </c>
      <c r="G34" s="4" t="s">
        <v>51</v>
      </c>
      <c r="H34" s="2">
        <v>42.75</v>
      </c>
      <c r="J34" s="4" t="s">
        <v>51</v>
      </c>
      <c r="K34" s="2">
        <v>5.4</v>
      </c>
    </row>
    <row r="35" spans="1:14" x14ac:dyDescent="0.3">
      <c r="D35" s="4" t="s">
        <v>19</v>
      </c>
      <c r="E35">
        <v>488</v>
      </c>
      <c r="G35" s="4" t="s">
        <v>19</v>
      </c>
      <c r="H35">
        <v>35.19877049180328</v>
      </c>
      <c r="J35" s="4" t="s">
        <v>19</v>
      </c>
      <c r="K35">
        <v>4.7876712328767121</v>
      </c>
    </row>
    <row r="38" spans="1:14" x14ac:dyDescent="0.3">
      <c r="A38" s="1" t="s">
        <v>18</v>
      </c>
      <c r="B38" t="s">
        <v>54</v>
      </c>
      <c r="C38" t="s">
        <v>55</v>
      </c>
    </row>
    <row r="39" spans="1:14" x14ac:dyDescent="0.3">
      <c r="A39" s="4" t="s">
        <v>4</v>
      </c>
      <c r="B39" s="5">
        <v>266</v>
      </c>
      <c r="C39" s="6">
        <v>0.54508196721311475</v>
      </c>
    </row>
    <row r="40" spans="1:14" x14ac:dyDescent="0.3">
      <c r="A40" s="4" t="s">
        <v>15</v>
      </c>
      <c r="B40" s="5">
        <v>222</v>
      </c>
      <c r="C40" s="6">
        <v>0.45491803278688525</v>
      </c>
    </row>
    <row r="41" spans="1:14" x14ac:dyDescent="0.3">
      <c r="A41" s="4" t="s">
        <v>19</v>
      </c>
      <c r="B41" s="5">
        <v>488</v>
      </c>
      <c r="C41" s="6">
        <v>1</v>
      </c>
    </row>
    <row r="43" spans="1:14" x14ac:dyDescent="0.3">
      <c r="N43" t="s">
        <v>70</v>
      </c>
    </row>
    <row r="44" spans="1:14" x14ac:dyDescent="0.3">
      <c r="A44" s="8" t="s">
        <v>64</v>
      </c>
      <c r="B44" s="9" t="s">
        <v>65</v>
      </c>
      <c r="C44" s="9" t="s">
        <v>66</v>
      </c>
      <c r="D44" s="9"/>
    </row>
    <row r="45" spans="1:14" x14ac:dyDescent="0.3">
      <c r="A45" t="str">
        <f>A40</f>
        <v>Not Admitted</v>
      </c>
      <c r="B45">
        <f>B40</f>
        <v>222</v>
      </c>
      <c r="C45" s="7">
        <f>C40</f>
        <v>0.45491803278688525</v>
      </c>
    </row>
    <row r="46" spans="1:14" x14ac:dyDescent="0.3">
      <c r="A46" t="str">
        <f>A39</f>
        <v>Admitted</v>
      </c>
      <c r="B46">
        <f>B39</f>
        <v>266</v>
      </c>
      <c r="C46" s="7">
        <f>C39</f>
        <v>0.54508196721311475</v>
      </c>
    </row>
    <row r="55" spans="1:11" x14ac:dyDescent="0.3">
      <c r="A55" s="1" t="s">
        <v>18</v>
      </c>
      <c r="B55" t="s">
        <v>67</v>
      </c>
      <c r="D55" s="1" t="s">
        <v>18</v>
      </c>
      <c r="E55" t="s">
        <v>0</v>
      </c>
      <c r="G55" s="1" t="s">
        <v>18</v>
      </c>
      <c r="H55" t="s">
        <v>68</v>
      </c>
      <c r="J55" s="1" t="s">
        <v>18</v>
      </c>
      <c r="K55" t="s">
        <v>69</v>
      </c>
    </row>
    <row r="56" spans="1:11" x14ac:dyDescent="0.3">
      <c r="A56" s="4" t="s">
        <v>13</v>
      </c>
      <c r="B56" s="2">
        <v>62</v>
      </c>
      <c r="D56" s="4" t="s">
        <v>6</v>
      </c>
      <c r="E56" s="2">
        <v>288</v>
      </c>
      <c r="G56" s="4" t="s">
        <v>56</v>
      </c>
      <c r="H56" s="5">
        <v>232</v>
      </c>
      <c r="J56" s="4" t="s">
        <v>63</v>
      </c>
      <c r="K56" s="5">
        <v>11</v>
      </c>
    </row>
    <row r="57" spans="1:11" x14ac:dyDescent="0.3">
      <c r="A57" s="4" t="s">
        <v>8</v>
      </c>
      <c r="B57" s="2">
        <v>73</v>
      </c>
      <c r="D57" s="4" t="s">
        <v>9</v>
      </c>
      <c r="E57" s="2">
        <v>200</v>
      </c>
      <c r="G57" s="4" t="s">
        <v>2</v>
      </c>
      <c r="H57" s="5">
        <v>256</v>
      </c>
      <c r="J57" s="4" t="s">
        <v>59</v>
      </c>
      <c r="K57" s="5">
        <v>11</v>
      </c>
    </row>
    <row r="58" spans="1:11" x14ac:dyDescent="0.3">
      <c r="A58" s="4" t="s">
        <v>12</v>
      </c>
      <c r="B58" s="2">
        <v>49</v>
      </c>
      <c r="D58" s="4" t="s">
        <v>19</v>
      </c>
      <c r="E58" s="5">
        <v>488</v>
      </c>
      <c r="G58" s="4" t="s">
        <v>19</v>
      </c>
      <c r="H58" s="5">
        <v>488</v>
      </c>
      <c r="J58" s="4" t="s">
        <v>57</v>
      </c>
      <c r="K58" s="5">
        <v>93</v>
      </c>
    </row>
    <row r="59" spans="1:11" x14ac:dyDescent="0.3">
      <c r="A59" s="4" t="s">
        <v>14</v>
      </c>
      <c r="B59" s="2">
        <v>44</v>
      </c>
      <c r="J59" s="4" t="s">
        <v>61</v>
      </c>
      <c r="K59" s="5">
        <v>7</v>
      </c>
    </row>
    <row r="60" spans="1:11" x14ac:dyDescent="0.3">
      <c r="A60" s="4" t="s">
        <v>10</v>
      </c>
      <c r="B60" s="2">
        <v>72</v>
      </c>
      <c r="J60" s="4" t="s">
        <v>3</v>
      </c>
      <c r="K60" s="5">
        <v>290</v>
      </c>
    </row>
    <row r="61" spans="1:11" x14ac:dyDescent="0.3">
      <c r="A61" s="4" t="s">
        <v>11</v>
      </c>
      <c r="B61" s="2">
        <v>71</v>
      </c>
      <c r="J61" s="4" t="s">
        <v>58</v>
      </c>
      <c r="K61" s="5">
        <v>60</v>
      </c>
    </row>
    <row r="62" spans="1:11" x14ac:dyDescent="0.3">
      <c r="A62" s="4" t="s">
        <v>5</v>
      </c>
      <c r="B62" s="2">
        <v>59</v>
      </c>
      <c r="J62" s="4" t="s">
        <v>62</v>
      </c>
      <c r="K62" s="5">
        <v>12</v>
      </c>
    </row>
    <row r="63" spans="1:11" x14ac:dyDescent="0.3">
      <c r="A63" s="4" t="s">
        <v>7</v>
      </c>
      <c r="B63" s="2">
        <v>58</v>
      </c>
      <c r="J63" s="4" t="s">
        <v>60</v>
      </c>
      <c r="K63" s="5">
        <v>4</v>
      </c>
    </row>
    <row r="64" spans="1:11" x14ac:dyDescent="0.3">
      <c r="A64" s="4" t="s">
        <v>19</v>
      </c>
      <c r="B64" s="5">
        <v>488</v>
      </c>
      <c r="J64" s="4" t="s">
        <v>19</v>
      </c>
      <c r="K64" s="5">
        <v>488</v>
      </c>
    </row>
    <row r="67" spans="1:1" x14ac:dyDescent="0.3">
      <c r="A67" s="1" t="s">
        <v>18</v>
      </c>
    </row>
    <row r="68" spans="1:1" x14ac:dyDescent="0.3">
      <c r="A68" s="4" t="s">
        <v>20</v>
      </c>
    </row>
    <row r="69" spans="1:1" x14ac:dyDescent="0.3">
      <c r="A69" s="4" t="s">
        <v>19</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1CDBF-61EF-4A69-A5C2-A64514A313C3}">
  <dimension ref="A1:M16"/>
  <sheetViews>
    <sheetView zoomScale="169" zoomScaleNormal="180" workbookViewId="0">
      <selection activeCell="M4" sqref="M4"/>
    </sheetView>
  </sheetViews>
  <sheetFormatPr defaultRowHeight="14.4" x14ac:dyDescent="0.3"/>
  <sheetData>
    <row r="1" spans="1:13" x14ac:dyDescent="0.3">
      <c r="A1" s="3"/>
      <c r="B1" s="3"/>
      <c r="C1" s="3"/>
      <c r="D1" s="3"/>
      <c r="E1" s="3"/>
      <c r="F1" s="3"/>
      <c r="G1" s="3"/>
      <c r="H1" s="3"/>
      <c r="I1" s="3"/>
      <c r="J1" s="3"/>
      <c r="K1" s="3"/>
      <c r="L1" s="3"/>
      <c r="M1" s="3"/>
    </row>
    <row r="2" spans="1:13" x14ac:dyDescent="0.3">
      <c r="A2" s="3"/>
      <c r="B2" s="3"/>
      <c r="C2" s="3"/>
      <c r="D2" s="3"/>
      <c r="E2" s="3"/>
      <c r="F2" s="3"/>
      <c r="G2" s="3"/>
      <c r="H2" s="3"/>
      <c r="I2" s="3"/>
      <c r="J2" s="3"/>
      <c r="K2" s="3"/>
      <c r="L2" s="3"/>
      <c r="M2" s="3"/>
    </row>
    <row r="3" spans="1:13" x14ac:dyDescent="0.3">
      <c r="A3" s="3"/>
      <c r="B3" s="3"/>
      <c r="C3" s="3"/>
      <c r="D3" s="3"/>
      <c r="E3" s="3"/>
      <c r="F3" s="3"/>
      <c r="G3" s="3"/>
      <c r="H3" s="3"/>
      <c r="I3" s="3"/>
      <c r="J3" s="3"/>
      <c r="K3" s="3"/>
      <c r="L3" s="3"/>
      <c r="M3" s="3"/>
    </row>
    <row r="4" spans="1:13" x14ac:dyDescent="0.3">
      <c r="A4" s="3"/>
      <c r="B4" s="3"/>
      <c r="C4" s="3"/>
      <c r="D4" s="3"/>
      <c r="E4" s="3"/>
      <c r="F4" s="3"/>
      <c r="G4" s="3"/>
      <c r="H4" s="3"/>
      <c r="I4" s="3"/>
      <c r="J4" s="3"/>
      <c r="K4" s="3"/>
      <c r="L4" s="3"/>
      <c r="M4" s="3"/>
    </row>
    <row r="5" spans="1:13" x14ac:dyDescent="0.3">
      <c r="A5" s="3"/>
      <c r="B5" s="3"/>
      <c r="C5" s="3"/>
      <c r="D5" s="3"/>
      <c r="E5" s="3"/>
      <c r="F5" s="3"/>
      <c r="G5" s="3"/>
      <c r="H5" s="3"/>
      <c r="I5" s="3"/>
      <c r="J5" s="3"/>
      <c r="K5" s="3"/>
      <c r="L5" s="3"/>
      <c r="M5" s="3"/>
    </row>
    <row r="6" spans="1:13" x14ac:dyDescent="0.3">
      <c r="A6" s="3"/>
      <c r="B6" s="3"/>
      <c r="C6" s="3"/>
      <c r="D6" s="3"/>
      <c r="E6" s="3"/>
      <c r="F6" s="3"/>
      <c r="G6" s="3"/>
      <c r="H6" s="3"/>
      <c r="I6" s="3"/>
      <c r="J6" s="3"/>
      <c r="K6" s="3"/>
      <c r="L6" s="3"/>
      <c r="M6" s="3"/>
    </row>
    <row r="7" spans="1:13" x14ac:dyDescent="0.3">
      <c r="A7" s="3"/>
      <c r="B7" s="3"/>
      <c r="C7" s="3"/>
      <c r="D7" s="3"/>
      <c r="E7" s="3"/>
      <c r="F7" s="3"/>
      <c r="G7" s="3"/>
      <c r="H7" s="3"/>
      <c r="I7" s="3"/>
      <c r="J7" s="3"/>
      <c r="K7" s="3"/>
      <c r="L7" s="3"/>
      <c r="M7" s="3"/>
    </row>
    <row r="8" spans="1:13" x14ac:dyDescent="0.3">
      <c r="A8" s="3"/>
      <c r="B8" s="3"/>
      <c r="C8" s="3"/>
      <c r="D8" s="3"/>
      <c r="E8" s="3"/>
      <c r="F8" s="3"/>
      <c r="G8" s="3"/>
      <c r="H8" s="3"/>
      <c r="I8" s="3"/>
      <c r="J8" s="3"/>
      <c r="K8" s="3"/>
      <c r="L8" s="3"/>
      <c r="M8" s="3"/>
    </row>
    <row r="9" spans="1:13" x14ac:dyDescent="0.3">
      <c r="A9" s="3"/>
      <c r="B9" s="3"/>
      <c r="C9" s="3"/>
      <c r="D9" s="3"/>
      <c r="E9" s="3"/>
      <c r="F9" s="3"/>
      <c r="G9" s="3"/>
      <c r="H9" s="3"/>
      <c r="I9" s="3"/>
      <c r="J9" s="3"/>
      <c r="K9" s="3"/>
      <c r="L9" s="3"/>
      <c r="M9" s="3"/>
    </row>
    <row r="10" spans="1:13" x14ac:dyDescent="0.3">
      <c r="A10" s="3"/>
      <c r="B10" s="3"/>
      <c r="C10" s="3"/>
      <c r="D10" s="3"/>
      <c r="E10" s="3"/>
      <c r="F10" s="3"/>
      <c r="G10" s="3"/>
      <c r="H10" s="3"/>
      <c r="I10" s="3"/>
      <c r="J10" s="3"/>
      <c r="K10" s="3"/>
      <c r="L10" s="3"/>
      <c r="M10" s="3"/>
    </row>
    <row r="11" spans="1:13" x14ac:dyDescent="0.3">
      <c r="A11" s="3"/>
      <c r="B11" s="3"/>
      <c r="C11" s="3"/>
      <c r="D11" s="3"/>
      <c r="E11" s="3"/>
      <c r="F11" s="3"/>
      <c r="G11" s="3"/>
      <c r="H11" s="3"/>
      <c r="I11" s="3"/>
      <c r="J11" s="3"/>
      <c r="K11" s="3"/>
      <c r="L11" s="3"/>
      <c r="M11" s="3"/>
    </row>
    <row r="12" spans="1:13" x14ac:dyDescent="0.3">
      <c r="A12" s="3"/>
      <c r="B12" s="3"/>
      <c r="C12" s="3"/>
      <c r="D12" s="3"/>
      <c r="E12" s="3"/>
      <c r="F12" s="3"/>
      <c r="G12" s="3"/>
      <c r="H12" s="3"/>
      <c r="I12" s="3"/>
      <c r="J12" s="3"/>
      <c r="K12" s="3"/>
      <c r="L12" s="3"/>
      <c r="M12" s="3"/>
    </row>
    <row r="13" spans="1:13" x14ac:dyDescent="0.3">
      <c r="A13" s="3"/>
      <c r="B13" s="3"/>
      <c r="C13" s="3"/>
      <c r="D13" s="3"/>
      <c r="E13" s="3"/>
      <c r="F13" s="3"/>
      <c r="G13" s="3"/>
      <c r="H13" s="3"/>
      <c r="I13" s="3"/>
      <c r="J13" s="3"/>
      <c r="K13" s="3"/>
      <c r="L13" s="3"/>
      <c r="M13" s="3"/>
    </row>
    <row r="14" spans="1:13" x14ac:dyDescent="0.3">
      <c r="A14" s="3"/>
      <c r="B14" s="3"/>
      <c r="C14" s="3"/>
      <c r="D14" s="3"/>
      <c r="E14" s="3"/>
      <c r="F14" s="3"/>
      <c r="G14" s="3"/>
      <c r="H14" s="3"/>
      <c r="I14" s="3"/>
      <c r="J14" s="3"/>
      <c r="K14" s="3"/>
      <c r="L14" s="3"/>
      <c r="M14" s="3"/>
    </row>
    <row r="15" spans="1:13" x14ac:dyDescent="0.3">
      <c r="A15" s="3"/>
      <c r="B15" s="3"/>
      <c r="C15" s="3"/>
      <c r="D15" s="3"/>
      <c r="E15" s="3"/>
      <c r="F15" s="3"/>
      <c r="G15" s="3"/>
      <c r="H15" s="3"/>
      <c r="I15" s="3"/>
      <c r="J15" s="3"/>
      <c r="K15" s="3"/>
      <c r="L15" s="3"/>
      <c r="M15" s="3"/>
    </row>
    <row r="16" spans="1:13" x14ac:dyDescent="0.3">
      <c r="A16" s="3"/>
      <c r="B16" s="3"/>
      <c r="C16" s="3"/>
      <c r="D16" s="3"/>
      <c r="E16" s="3"/>
      <c r="F16" s="3"/>
      <c r="G16" s="3"/>
      <c r="H16" s="3"/>
      <c r="I16" s="3"/>
      <c r="J16" s="3"/>
      <c r="K16" s="3"/>
      <c r="L16" s="3"/>
      <c r="M16"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FD47B-EF9B-4120-9498-BC943897207D}">
  <dimension ref="B22:L22"/>
  <sheetViews>
    <sheetView workbookViewId="0">
      <selection activeCell="B22" sqref="B22:L22"/>
    </sheetView>
  </sheetViews>
  <sheetFormatPr defaultRowHeight="14.4" x14ac:dyDescent="0.3"/>
  <sheetData>
    <row r="22" spans="2:12" ht="18" x14ac:dyDescent="0.35">
      <c r="B22" s="10" t="s">
        <v>52</v>
      </c>
      <c r="C22" s="11"/>
      <c r="D22" s="11"/>
      <c r="E22" s="11"/>
      <c r="F22" s="11"/>
      <c r="G22" s="11"/>
      <c r="H22" s="11"/>
      <c r="I22" s="11"/>
      <c r="J22" s="11"/>
      <c r="K22" s="11"/>
      <c r="L22" s="11"/>
    </row>
  </sheetData>
  <mergeCells count="1">
    <mergeCell ref="B22:L2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68BB7-722F-4A93-B7CC-4404269F603B}">
  <dimension ref="B22:L22"/>
  <sheetViews>
    <sheetView zoomScale="119" workbookViewId="0">
      <selection activeCell="H28" sqref="H28"/>
    </sheetView>
  </sheetViews>
  <sheetFormatPr defaultRowHeight="14.4" x14ac:dyDescent="0.3"/>
  <sheetData>
    <row r="22" spans="2:12" x14ac:dyDescent="0.3">
      <c r="B22" s="13" t="s">
        <v>53</v>
      </c>
      <c r="C22" s="13"/>
      <c r="D22" s="13"/>
      <c r="E22" s="13"/>
      <c r="F22" s="13"/>
      <c r="G22" s="13"/>
      <c r="H22" s="13"/>
      <c r="I22" s="13"/>
      <c r="J22" s="13"/>
      <c r="K22" s="13"/>
      <c r="L22" s="13"/>
    </row>
  </sheetData>
  <mergeCells count="1">
    <mergeCell ref="B22:L2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8B075-BB32-461D-870C-48F496445717}">
  <dimension ref="B22:L22"/>
  <sheetViews>
    <sheetView workbookViewId="0">
      <selection activeCell="N3" sqref="N3"/>
    </sheetView>
  </sheetViews>
  <sheetFormatPr defaultRowHeight="14.4" x14ac:dyDescent="0.3"/>
  <sheetData>
    <row r="22" spans="2:12" x14ac:dyDescent="0.3">
      <c r="B22" s="12" t="s">
        <v>71</v>
      </c>
      <c r="C22" s="11"/>
      <c r="D22" s="11"/>
      <c r="E22" s="11"/>
      <c r="F22" s="11"/>
      <c r="G22" s="11"/>
      <c r="H22" s="11"/>
      <c r="I22" s="11"/>
      <c r="J22" s="11"/>
      <c r="K22" s="11"/>
      <c r="L22" s="11"/>
    </row>
  </sheetData>
  <mergeCells count="1">
    <mergeCell ref="B22:L2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BC33EF6-C56C-48E7-A15F-6B5F260D6B30}">
  <ds:schemaRefs/>
</ds:datastoreItem>
</file>

<file path=customXml/itemProps2.xml><?xml version="1.0" encoding="utf-8"?>
<ds:datastoreItem xmlns:ds="http://schemas.openxmlformats.org/officeDocument/2006/customXml" ds:itemID="{1C3DD8AE-AF75-41D2-B262-D6CFF95060B2}">
  <ds:schemaRefs/>
</ds:datastoreItem>
</file>

<file path=customXml/itemProps3.xml><?xml version="1.0" encoding="utf-8"?>
<ds:datastoreItem xmlns:ds="http://schemas.openxmlformats.org/officeDocument/2006/customXml" ds:itemID="{93057261-0B48-4802-B124-062C63AB3AD1}">
  <ds:schemaRefs/>
</ds:datastoreItem>
</file>

<file path=customXml/itemProps4.xml><?xml version="1.0" encoding="utf-8"?>
<ds:datastoreItem xmlns:ds="http://schemas.openxmlformats.org/officeDocument/2006/customXml" ds:itemID="{66155180-7420-491F-BC96-7EC223EBD496}">
  <ds:schemaRefs/>
</ds:datastoreItem>
</file>

<file path=customXml/itemProps5.xml><?xml version="1.0" encoding="utf-8"?>
<ds:datastoreItem xmlns:ds="http://schemas.openxmlformats.org/officeDocument/2006/customXml" ds:itemID="{352827D7-5AC6-47FF-A6A2-CBEBFD58D80C}">
  <ds:schemaRefs/>
</ds:datastoreItem>
</file>

<file path=customXml/itemProps6.xml><?xml version="1.0" encoding="utf-8"?>
<ds:datastoreItem xmlns:ds="http://schemas.openxmlformats.org/officeDocument/2006/customXml" ds:itemID="{8D6C42F7-D400-4C76-AD10-61930C103CEC}">
  <ds:schemaRefs/>
</ds:datastoreItem>
</file>

<file path=customXml/itemProps7.xml><?xml version="1.0" encoding="utf-8"?>
<ds:datastoreItem xmlns:ds="http://schemas.openxmlformats.org/officeDocument/2006/customXml" ds:itemID="{60DB89DA-A403-451F-BF94-5927967C50D2}">
  <ds:schemaRefs/>
</ds:datastoreItem>
</file>

<file path=customXml/itemProps8.xml><?xml version="1.0" encoding="utf-8"?>
<ds:datastoreItem xmlns:ds="http://schemas.openxmlformats.org/officeDocument/2006/customXml" ds:itemID="{2F60BA64-2EB3-48B3-B5D8-9F3B20F93E08}">
  <ds:schemaRefs/>
</ds:datastoreItem>
</file>

<file path=customXml/itemProps9.xml><?xml version="1.0" encoding="utf-8"?>
<ds:datastoreItem xmlns:ds="http://schemas.openxmlformats.org/officeDocument/2006/customXml" ds:itemID="{0CB652E4-F5F7-4A6C-B9AF-F8BE7CC338C8}">
  <ds:schemaRefs/>
</ds:datastoreItem>
</file>

<file path=customXml/itemProps10.xml><?xml version="1.0" encoding="utf-8"?>
<ds:datastoreItem xmlns:ds="http://schemas.openxmlformats.org/officeDocument/2006/customXml" ds:itemID="{932A5740-17C3-4395-9134-02F4360AEA8E}">
  <ds:schemaRefs>
    <ds:schemaRef ds:uri="http://schemas.microsoft.com/DataMashup"/>
  </ds:schemaRefs>
</ds:datastoreItem>
</file>

<file path=customXml/itemProps11.xml><?xml version="1.0" encoding="utf-8"?>
<ds:datastoreItem xmlns:ds="http://schemas.openxmlformats.org/officeDocument/2006/customXml" ds:itemID="{61C75138-AC59-4526-8CA9-D27E97F6F31F}">
  <ds:schemaRefs/>
</ds:datastoreItem>
</file>

<file path=customXml/itemProps12.xml><?xml version="1.0" encoding="utf-8"?>
<ds:datastoreItem xmlns:ds="http://schemas.openxmlformats.org/officeDocument/2006/customXml" ds:itemID="{B47697B6-E115-42D7-AA0A-1E2B296E9B1A}">
  <ds:schemaRefs/>
</ds:datastoreItem>
</file>

<file path=customXml/itemProps13.xml><?xml version="1.0" encoding="utf-8"?>
<ds:datastoreItem xmlns:ds="http://schemas.openxmlformats.org/officeDocument/2006/customXml" ds:itemID="{9EE3BB78-C22B-4C9E-8163-B46E2F02C281}">
  <ds:schemaRefs/>
</ds:datastoreItem>
</file>

<file path=customXml/itemProps14.xml><?xml version="1.0" encoding="utf-8"?>
<ds:datastoreItem xmlns:ds="http://schemas.openxmlformats.org/officeDocument/2006/customXml" ds:itemID="{15663337-33E1-489F-BFA5-A72A856A270C}">
  <ds:schemaRefs/>
</ds:datastoreItem>
</file>

<file path=customXml/itemProps15.xml><?xml version="1.0" encoding="utf-8"?>
<ds:datastoreItem xmlns:ds="http://schemas.openxmlformats.org/officeDocument/2006/customXml" ds:itemID="{326F7DDD-0496-4C45-9D3E-F150B0AC686A}">
  <ds:schemaRefs/>
</ds:datastoreItem>
</file>

<file path=customXml/itemProps16.xml><?xml version="1.0" encoding="utf-8"?>
<ds:datastoreItem xmlns:ds="http://schemas.openxmlformats.org/officeDocument/2006/customXml" ds:itemID="{DF5CF38C-0646-4A4B-B4A5-E641FECAB837}">
  <ds:schemaRefs/>
</ds:datastoreItem>
</file>

<file path=customXml/itemProps17.xml><?xml version="1.0" encoding="utf-8"?>
<ds:datastoreItem xmlns:ds="http://schemas.openxmlformats.org/officeDocument/2006/customXml" ds:itemID="{5CA32494-89C3-4175-B8DE-B8F26598E8D0}">
  <ds:schemaRefs/>
</ds:datastoreItem>
</file>

<file path=customXml/itemProps18.xml><?xml version="1.0" encoding="utf-8"?>
<ds:datastoreItem xmlns:ds="http://schemas.openxmlformats.org/officeDocument/2006/customXml" ds:itemID="{AE61CC50-BBD2-45EC-8BE7-8D09B4098B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Patients</vt:lpstr>
      <vt:lpstr>Average Wait Time Daily Trend</vt:lpstr>
      <vt:lpstr>Patients Satisfaction 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 Gohel</dc:creator>
  <cp:lastModifiedBy>Riya Gohel</cp:lastModifiedBy>
  <dcterms:created xsi:type="dcterms:W3CDTF">2026-08-14T05:14:53Z</dcterms:created>
  <dcterms:modified xsi:type="dcterms:W3CDTF">2026-08-15T07:29:55Z</dcterms:modified>
</cp:coreProperties>
</file>